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ALL" sheetId="3" state="visible" r:id="rId3"/>
    <sheet xmlns:r="http://schemas.openxmlformats.org/officeDocument/2006/relationships" name="AdminDocUtilApiKeys" sheetId="4" state="visible" r:id="rId4"/>
    <sheet xmlns:r="http://schemas.openxmlformats.org/officeDocument/2006/relationships" name="AdminDocUtilAudit" sheetId="5" state="visible" r:id="rId5"/>
    <sheet xmlns:r="http://schemas.openxmlformats.org/officeDocument/2006/relationships" name="AdminDocUtilDashboard" sheetId="6" state="visible" r:id="rId6"/>
    <sheet xmlns:r="http://schemas.openxmlformats.org/officeDocument/2006/relationships" name="AdminDocUtilDepartments" sheetId="7" state="visible" r:id="rId7"/>
    <sheet xmlns:r="http://schemas.openxmlformats.org/officeDocument/2006/relationships" name="AdminDocUtilDocAgents" sheetId="8" state="visible" r:id="rId8"/>
    <sheet xmlns:r="http://schemas.openxmlformats.org/officeDocument/2006/relationships" name="AdminDocUtilDocumentsV2" sheetId="9" state="visible" r:id="rId9"/>
    <sheet xmlns:r="http://schemas.openxmlformats.org/officeDocument/2006/relationships" name="AdminDocUtilEvaluation" sheetId="10" state="visible" r:id="rId10"/>
    <sheet xmlns:r="http://schemas.openxmlformats.org/officeDocument/2006/relationships" name="AdminDocUtilFaq" sheetId="11" state="visible" r:id="rId11"/>
    <sheet xmlns:r="http://schemas.openxmlformats.org/officeDocument/2006/relationships" name="AdminDocUtilProjects" sheetId="12" state="visible" r:id="rId12"/>
    <sheet xmlns:r="http://schemas.openxmlformats.org/officeDocument/2006/relationships" name="AdminDocUtilReports" sheetId="13" state="visible" r:id="rId13"/>
    <sheet xmlns:r="http://schemas.openxmlformats.org/officeDocument/2006/relationships" name="AdminDocUtilSearchScopes" sheetId="14" state="visible" r:id="rId14"/>
    <sheet xmlns:r="http://schemas.openxmlformats.org/officeDocument/2006/relationships" name="AdminDocUtilTemplates" sheetId="15" state="visible" r:id="rId15"/>
    <sheet xmlns:r="http://schemas.openxmlformats.org/officeDocument/2006/relationships" name="AdminDocUtilUsers" sheetId="16" state="visible" r:id="rId16"/>
    <sheet xmlns:r="http://schemas.openxmlformats.org/officeDocument/2006/relationships" name="AdminKnowledgeBase" sheetId="17" state="visible" r:id="rId17"/>
    <sheet xmlns:r="http://schemas.openxmlformats.org/officeDocument/2006/relationships" name="AdminKnowledgeBaseUpload" sheetId="18" state="visible" r:id="rId18"/>
    <sheet xmlns:r="http://schemas.openxmlformats.org/officeDocument/2006/relationships" name="AdminRagMetrics" sheetId="19" state="visible" r:id="rId19"/>
    <sheet xmlns:r="http://schemas.openxmlformats.org/officeDocument/2006/relationships" name="AgentBuilder" sheetId="20" state="visible" r:id="rId20"/>
    <sheet xmlns:r="http://schemas.openxmlformats.org/officeDocument/2006/relationships" name="AgentChat" sheetId="21" state="visible" r:id="rId21"/>
    <sheet xmlns:r="http://schemas.openxmlformats.org/officeDocument/2006/relationships" name="AgentEmbed" sheetId="22" state="visible" r:id="rId22"/>
    <sheet xmlns:r="http://schemas.openxmlformats.org/officeDocument/2006/relationships" name="AgentMarketplace" sheetId="23" state="visible" r:id="rId23"/>
    <sheet xmlns:r="http://schemas.openxmlformats.org/officeDocument/2006/relationships" name="AgentMultiChat" sheetId="24" state="visible" r:id="rId24"/>
    <sheet xmlns:r="http://schemas.openxmlformats.org/officeDocument/2006/relationships" name="AgentPublicChat" sheetId="25" state="visible" r:id="rId25"/>
    <sheet xmlns:r="http://schemas.openxmlformats.org/officeDocument/2006/relationships" name="AgentTemplates" sheetId="26" state="visible" r:id="rId26"/>
    <sheet xmlns:r="http://schemas.openxmlformats.org/officeDocument/2006/relationships" name="AgentTestPage" sheetId="27" state="visible" r:id="rId27"/>
    <sheet xmlns:r="http://schemas.openxmlformats.org/officeDocument/2006/relationships" name="Agents" sheetId="28" state="visible" r:id="rId28"/>
    <sheet xmlns:r="http://schemas.openxmlformats.org/officeDocument/2006/relationships" name="Analytics" sheetId="29" state="visible" r:id="rId29"/>
    <sheet xmlns:r="http://schemas.openxmlformats.org/officeDocument/2006/relationships" name="ApiKeys" sheetId="30" state="visible" r:id="rId30"/>
    <sheet xmlns:r="http://schemas.openxmlformats.org/officeDocument/2006/relationships" name="AuditLog" sheetId="31" state="visible" r:id="rId31"/>
    <sheet xmlns:r="http://schemas.openxmlformats.org/officeDocument/2006/relationships" name="BannedWords" sheetId="32" state="visible" r:id="rId32"/>
    <sheet xmlns:r="http://schemas.openxmlformats.org/officeDocument/2006/relationships" name="CostAnalysis" sheetId="33" state="visible" r:id="rId33"/>
    <sheet xmlns:r="http://schemas.openxmlformats.org/officeDocument/2006/relationships" name="DU_AdminAccounts" sheetId="34" state="visible" r:id="rId34"/>
    <sheet xmlns:r="http://schemas.openxmlformats.org/officeDocument/2006/relationships" name="DU_AdminDashboard" sheetId="35" state="visible" r:id="rId35"/>
    <sheet xmlns:r="http://schemas.openxmlformats.org/officeDocument/2006/relationships" name="DU_Agents" sheetId="36" state="visible" r:id="rId36"/>
    <sheet xmlns:r="http://schemas.openxmlformats.org/officeDocument/2006/relationships" name="DU_ApiKeys" sheetId="37" state="visible" r:id="rId37"/>
    <sheet xmlns:r="http://schemas.openxmlformats.org/officeDocument/2006/relationships" name="DU_Chat" sheetId="38" state="visible" r:id="rId38"/>
    <sheet xmlns:r="http://schemas.openxmlformats.org/officeDocument/2006/relationships" name="DU_Departments" sheetId="39" state="visible" r:id="rId39"/>
    <sheet xmlns:r="http://schemas.openxmlformats.org/officeDocument/2006/relationships" name="DU_DesignerCreate" sheetId="40" state="visible" r:id="rId40"/>
    <sheet xmlns:r="http://schemas.openxmlformats.org/officeDocument/2006/relationships" name="DU_DesignerDocument" sheetId="41" state="visible" r:id="rId41"/>
    <sheet xmlns:r="http://schemas.openxmlformats.org/officeDocument/2006/relationships" name="DU_DesignerFill" sheetId="42" state="visible" r:id="rId42"/>
    <sheet xmlns:r="http://schemas.openxmlformats.org/officeDocument/2006/relationships" name="DU_Documents" sheetId="43" state="visible" r:id="rId43"/>
    <sheet xmlns:r="http://schemas.openxmlformats.org/officeDocument/2006/relationships" name="DU_Evaluation" sheetId="44" state="visible" r:id="rId44"/>
    <sheet xmlns:r="http://schemas.openxmlformats.org/officeDocument/2006/relationships" name="DU_Help" sheetId="45" state="visible" r:id="rId45"/>
    <sheet xmlns:r="http://schemas.openxmlformats.org/officeDocument/2006/relationships" name="DU_Home" sheetId="46" state="visible" r:id="rId46"/>
    <sheet xmlns:r="http://schemas.openxmlformats.org/officeDocument/2006/relationships" name="DU_Login" sheetId="47" state="visible" r:id="rId47"/>
    <sheet xmlns:r="http://schemas.openxmlformats.org/officeDocument/2006/relationships" name="DU_MyDocuments" sheetId="48" state="visible" r:id="rId48"/>
    <sheet xmlns:r="http://schemas.openxmlformats.org/officeDocument/2006/relationships" name="DU_PreviewHost" sheetId="49" state="visible" r:id="rId49"/>
    <sheet xmlns:r="http://schemas.openxmlformats.org/officeDocument/2006/relationships" name="DU_Projects" sheetId="50" state="visible" r:id="rId50"/>
    <sheet xmlns:r="http://schemas.openxmlformats.org/officeDocument/2006/relationships" name="DU_QuickGuide" sheetId="51" state="visible" r:id="rId51"/>
    <sheet xmlns:r="http://schemas.openxmlformats.org/officeDocument/2006/relationships" name="DU_Quotas" sheetId="52" state="visible" r:id="rId52"/>
    <sheet xmlns:r="http://schemas.openxmlformats.org/officeDocument/2006/relationships" name="DU_Reports" sheetId="53" state="visible" r:id="rId53"/>
    <sheet xmlns:r="http://schemas.openxmlformats.org/officeDocument/2006/relationships" name="DU_Search" sheetId="54" state="visible" r:id="rId54"/>
    <sheet xmlns:r="http://schemas.openxmlformats.org/officeDocument/2006/relationships" name="DU_SearchScopes" sheetId="55" state="visible" r:id="rId55"/>
    <sheet xmlns:r="http://schemas.openxmlformats.org/officeDocument/2006/relationships" name="DU_SearchTest" sheetId="56" state="visible" r:id="rId56"/>
    <sheet xmlns:r="http://schemas.openxmlformats.org/officeDocument/2006/relationships" name="DU_Settings" sheetId="57" state="visible" r:id="rId57"/>
    <sheet xmlns:r="http://schemas.openxmlformats.org/officeDocument/2006/relationships" name="DU_Templates" sheetId="58" state="visible" r:id="rId58"/>
    <sheet xmlns:r="http://schemas.openxmlformats.org/officeDocument/2006/relationships" name="Dashboard" sheetId="59" state="visible" r:id="rId59"/>
    <sheet xmlns:r="http://schemas.openxmlformats.org/officeDocument/2006/relationships" name="DatabaseBackup" sheetId="60" state="visible" r:id="rId60"/>
    <sheet xmlns:r="http://schemas.openxmlformats.org/officeDocument/2006/relationships" name="ForgotPassword" sheetId="61" state="visible" r:id="rId61"/>
    <sheet xmlns:r="http://schemas.openxmlformats.org/officeDocument/2006/relationships" name="Help" sheetId="62" state="visible" r:id="rId62"/>
    <sheet xmlns:r="http://schemas.openxmlformats.org/officeDocument/2006/relationships" name="ImageGeneration" sheetId="63" state="visible" r:id="rId63"/>
    <sheet xmlns:r="http://schemas.openxmlformats.org/officeDocument/2006/relationships" name="Landing" sheetId="64" state="visible" r:id="rId64"/>
    <sheet xmlns:r="http://schemas.openxmlformats.org/officeDocument/2006/relationships" name="Login" sheetId="65" state="visible" r:id="rId65"/>
    <sheet xmlns:r="http://schemas.openxmlformats.org/officeDocument/2006/relationships" name="PiiProtection" sheetId="66" state="visible" r:id="rId66"/>
    <sheet xmlns:r="http://schemas.openxmlformats.org/officeDocument/2006/relationships" name="Playground" sheetId="67" state="visible" r:id="rId67"/>
    <sheet xmlns:r="http://schemas.openxmlformats.org/officeDocument/2006/relationships" name="PresentationBuilder" sheetId="68" state="visible" r:id="rId68"/>
    <sheet xmlns:r="http://schemas.openxmlformats.org/officeDocument/2006/relationships" name="PresentationTemplateManagement" sheetId="69" state="visible" r:id="rId69"/>
    <sheet xmlns:r="http://schemas.openxmlformats.org/officeDocument/2006/relationships" name="PrivacyPolicy" sheetId="70" state="visible" r:id="rId70"/>
    <sheet xmlns:r="http://schemas.openxmlformats.org/officeDocument/2006/relationships" name="QuickImageGeneration" sheetId="71" state="visible" r:id="rId71"/>
    <sheet xmlns:r="http://schemas.openxmlformats.org/officeDocument/2006/relationships" name="Quota" sheetId="72" state="visible" r:id="rId72"/>
    <sheet xmlns:r="http://schemas.openxmlformats.org/officeDocument/2006/relationships" name="Reports" sheetId="73" state="visible" r:id="rId73"/>
    <sheet xmlns:r="http://schemas.openxmlformats.org/officeDocument/2006/relationships" name="ResetPassword" sheetId="74" state="visible" r:id="rId74"/>
    <sheet xmlns:r="http://schemas.openxmlformats.org/officeDocument/2006/relationships" name="Settings" sheetId="75" state="visible" r:id="rId75"/>
    <sheet xmlns:r="http://schemas.openxmlformats.org/officeDocument/2006/relationships" name="SystemHealth" sheetId="76" state="visible" r:id="rId76"/>
    <sheet xmlns:r="http://schemas.openxmlformats.org/officeDocument/2006/relationships" name="Team" sheetId="77" state="visible" r:id="rId77"/>
    <sheet xmlns:r="http://schemas.openxmlformats.org/officeDocument/2006/relationships" name="TermsOfService" sheetId="78" state="visible" r:id="rId78"/>
    <sheet xmlns:r="http://schemas.openxmlformats.org/officeDocument/2006/relationships" name="ToolBuilder" sheetId="79" state="visible" r:id="rId79"/>
    <sheet xmlns:r="http://schemas.openxmlformats.org/officeDocument/2006/relationships" name="Tools" sheetId="80" state="visible" r:id="rId80"/>
    <sheet xmlns:r="http://schemas.openxmlformats.org/officeDocument/2006/relationships" name="UsageHistory" sheetId="81" state="visible" r:id="rId81"/>
    <sheet xmlns:r="http://schemas.openxmlformats.org/officeDocument/2006/relationships" name="Users" sheetId="82" state="visible" r:id="rId82"/>
    <sheet xmlns:r="http://schemas.openxmlformats.org/officeDocument/2006/relationships" name="WorkflowBuilder" sheetId="83" state="visible" r:id="rId83"/>
    <sheet xmlns:r="http://schemas.openxmlformats.org/officeDocument/2006/relationships" name="WorkflowExecutionMonitor" sheetId="84" state="visible" r:id="rId84"/>
    <sheet xmlns:r="http://schemas.openxmlformats.org/officeDocument/2006/relationships" name="Workflows" sheetId="85" state="visible" r:id="rId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sz val="14"/>
    </font>
    <font>
      <name val="맑은 고딕"/>
      <b val="1"/>
      <color rgb="00FFFFFF"/>
      <sz val="10"/>
    </font>
    <font>
      <name val="맑은 고딕"/>
      <b val="1"/>
      <sz val="11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styles" Target="styles.xml" Id="rId86"/><Relationship Type="http://schemas.openxmlformats.org/officeDocument/2006/relationships/theme" Target="theme/theme1.xml" Id="rId8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6" customHeight="1">
      <c r="A1" s="1" t="inlineStr">
        <is>
          <t>IDINO Agent Hub — 전수 화면 체크리스트 (트랙 #83)</t>
        </is>
      </c>
    </row>
    <row r="3">
      <c r="A3" s="2" t="inlineStr">
        <is>
          <t>작업 트랙</t>
        </is>
      </c>
      <c r="B3" s="3" t="inlineStr">
        <is>
          <t>#83 — 전수 화면 체크리스트 + 라이브 e2e</t>
        </is>
      </c>
    </row>
    <row r="4">
      <c r="A4" s="2" t="inlineStr">
        <is>
          <t>작성일</t>
        </is>
      </c>
      <c r="B4" s="3" t="inlineStr">
        <is>
          <t>2026-05-12</t>
        </is>
      </c>
    </row>
    <row r="5">
      <c r="A5" s="2" t="inlineStr">
        <is>
          <t>대상 시스템</t>
        </is>
      </c>
      <c r="B5" s="3" t="inlineStr">
        <is>
          <t>AgentHub Vue 3 (49 routes) + DocUtil Next.js 16 (25 routes)</t>
        </is>
      </c>
    </row>
    <row r="6">
      <c r="A6" s="2" t="inlineStr">
        <is>
          <t>운영 URL</t>
        </is>
      </c>
      <c r="B6" s="3" t="inlineStr">
        <is>
          <t>AgentHub: http://192.168.10.39:64005  |  DocUtil: http://192.168.10.39:8041</t>
        </is>
      </c>
    </row>
    <row r="7">
      <c r="A7" s="2" t="inlineStr">
        <is>
          <t>총 케이스 수</t>
        </is>
      </c>
      <c r="B7" s="3" t="inlineStr">
        <is>
          <t>479</t>
        </is>
      </c>
    </row>
    <row r="8">
      <c r="A8" s="2" t="inlineStr">
        <is>
          <t>총 시트 수</t>
        </is>
      </c>
      <c r="B8" s="3" t="inlineStr">
        <is>
          <t>83 (Cover/Summary 포함)</t>
        </is>
      </c>
    </row>
    <row r="9">
      <c r="A9" s="2" t="inlineStr">
        <is>
          <t>운영 영향 정책</t>
        </is>
      </c>
      <c r="B9" s="3" t="inlineStr">
        <is>
          <t>read-only 진입 + 안전 mutation 1 cycle (시나리오 1 인용) 만</t>
        </is>
      </c>
    </row>
    <row r="10">
      <c r="A10" s="2" t="inlineStr">
        <is>
          <t>LLM 비용 정책</t>
        </is>
      </c>
      <c r="B10" s="3" t="inlineStr">
        <is>
          <t>Playground/이미지/PPTX 등은 폼 표시만 — 전송 안 함. 채팅 1회는 시나리오 2 인용</t>
        </is>
      </c>
    </row>
    <row r="11">
      <c r="A11" s="2" t="inlineStr">
        <is>
          <t>DocUtil 자격증명</t>
        </is>
      </c>
      <c r="B11" s="3" t="inlineStr">
        <is>
          <t>미확보 — DocUtil 사용자/관리자 페이지는 SKIP. 자격증명 제공 시 진행 분기</t>
        </is>
      </c>
    </row>
    <row r="12">
      <c r="A12" s="2" t="inlineStr">
        <is>
          <t>관련 commit</t>
        </is>
      </c>
      <c r="B12" s="3" t="inlineStr">
        <is>
          <t>트랙 #75: b7de919 / 3542e33 (시나리오 1~4)</t>
        </is>
      </c>
    </row>
  </sheetData>
  <mergeCells count="11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집계</t>
        </is>
      </c>
    </row>
    <row r="3">
      <c r="A3" s="5" t="inlineStr">
        <is>
          <t>시트</t>
        </is>
      </c>
      <c r="B3" s="5" t="inlineStr">
        <is>
          <t>케이스 수</t>
        </is>
      </c>
      <c r="C3" s="5" t="inlineStr">
        <is>
          <t>PASS</t>
        </is>
      </c>
      <c r="D3" s="5" t="inlineStr">
        <is>
          <t>FAIL</t>
        </is>
      </c>
      <c r="E3" s="5" t="inlineStr">
        <is>
          <t>SKIP</t>
        </is>
      </c>
      <c r="F3" s="5" t="inlineStr">
        <is>
          <t>미실행</t>
        </is>
      </c>
    </row>
    <row r="4">
      <c r="A4" t="inlineStr">
        <is>
          <t>ALL</t>
        </is>
      </c>
      <c r="B4" t="n">
        <v>2</v>
      </c>
      <c r="C4">
        <f>COUNTIF('ALL'!I:I,"PASS")</f>
        <v/>
      </c>
      <c r="D4">
        <f>COUNTIF('ALL'!I:I,"FAIL")</f>
        <v/>
      </c>
      <c r="E4">
        <f>COUNTIF('ALL'!I:I,"SKIP")</f>
        <v/>
      </c>
      <c r="F4">
        <f>B4-C4-D4-E4</f>
        <v/>
      </c>
    </row>
    <row r="5">
      <c r="A5" t="inlineStr">
        <is>
          <t>AdminDocUtilApiKeys</t>
        </is>
      </c>
      <c r="B5" t="n">
        <v>7</v>
      </c>
      <c r="C5">
        <f>COUNTIF('AdminDocUtilApiKeys'!I:I,"PASS")</f>
        <v/>
      </c>
      <c r="D5">
        <f>COUNTIF('AdminDocUtilApiKeys'!I:I,"FAIL")</f>
        <v/>
      </c>
      <c r="E5">
        <f>COUNTIF('AdminDocUtilApiKeys'!I:I,"SKIP")</f>
        <v/>
      </c>
      <c r="F5">
        <f>B5-C5-D5-E5</f>
        <v/>
      </c>
    </row>
    <row r="6">
      <c r="A6" t="inlineStr">
        <is>
          <t>AdminDocUtilAudit</t>
        </is>
      </c>
      <c r="B6" t="n">
        <v>7</v>
      </c>
      <c r="C6">
        <f>COUNTIF('AdminDocUtilAudit'!I:I,"PASS")</f>
        <v/>
      </c>
      <c r="D6">
        <f>COUNTIF('AdminDocUtilAudit'!I:I,"FAIL")</f>
        <v/>
      </c>
      <c r="E6">
        <f>COUNTIF('AdminDocUtilAudit'!I:I,"SKIP")</f>
        <v/>
      </c>
      <c r="F6">
        <f>B6-C6-D6-E6</f>
        <v/>
      </c>
    </row>
    <row r="7">
      <c r="A7" t="inlineStr">
        <is>
          <t>AdminDocUtilDashboard</t>
        </is>
      </c>
      <c r="B7" t="n">
        <v>7</v>
      </c>
      <c r="C7">
        <f>COUNTIF('AdminDocUtilDashboard'!I:I,"PASS")</f>
        <v/>
      </c>
      <c r="D7">
        <f>COUNTIF('AdminDocUtilDashboard'!I:I,"FAIL")</f>
        <v/>
      </c>
      <c r="E7">
        <f>COUNTIF('AdminDocUtilDashboard'!I:I,"SKIP")</f>
        <v/>
      </c>
      <c r="F7">
        <f>B7-C7-D7-E7</f>
        <v/>
      </c>
    </row>
    <row r="8">
      <c r="A8" t="inlineStr">
        <is>
          <t>AdminDocUtilDepartments</t>
        </is>
      </c>
      <c r="B8" t="n">
        <v>7</v>
      </c>
      <c r="C8">
        <f>COUNTIF('AdminDocUtilDepartments'!I:I,"PASS")</f>
        <v/>
      </c>
      <c r="D8">
        <f>COUNTIF('AdminDocUtilDepartments'!I:I,"FAIL")</f>
        <v/>
      </c>
      <c r="E8">
        <f>COUNTIF('AdminDocUtilDepartments'!I:I,"SKIP")</f>
        <v/>
      </c>
      <c r="F8">
        <f>B8-C8-D8-E8</f>
        <v/>
      </c>
    </row>
    <row r="9">
      <c r="A9" t="inlineStr">
        <is>
          <t>AdminDocUtilDocAgents</t>
        </is>
      </c>
      <c r="B9" t="n">
        <v>7</v>
      </c>
      <c r="C9">
        <f>COUNTIF('AdminDocUtilDocAgents'!I:I,"PASS")</f>
        <v/>
      </c>
      <c r="D9">
        <f>COUNTIF('AdminDocUtilDocAgents'!I:I,"FAIL")</f>
        <v/>
      </c>
      <c r="E9">
        <f>COUNTIF('AdminDocUtilDocAgents'!I:I,"SKIP")</f>
        <v/>
      </c>
      <c r="F9">
        <f>B9-C9-D9-E9</f>
        <v/>
      </c>
    </row>
    <row r="10">
      <c r="A10" t="inlineStr">
        <is>
          <t>AdminDocUtilDocumentsV2</t>
        </is>
      </c>
      <c r="B10" t="n">
        <v>7</v>
      </c>
      <c r="C10">
        <f>COUNTIF('AdminDocUtilDocumentsV2'!I:I,"PASS")</f>
        <v/>
      </c>
      <c r="D10">
        <f>COUNTIF('AdminDocUtilDocumentsV2'!I:I,"FAIL")</f>
        <v/>
      </c>
      <c r="E10">
        <f>COUNTIF('AdminDocUtilDocumentsV2'!I:I,"SKIP")</f>
        <v/>
      </c>
      <c r="F10">
        <f>B10-C10-D10-E10</f>
        <v/>
      </c>
    </row>
    <row r="11">
      <c r="A11" t="inlineStr">
        <is>
          <t>AdminDocUtilEvaluation</t>
        </is>
      </c>
      <c r="B11" t="n">
        <v>7</v>
      </c>
      <c r="C11">
        <f>COUNTIF('AdminDocUtilEvaluation'!I:I,"PASS")</f>
        <v/>
      </c>
      <c r="D11">
        <f>COUNTIF('AdminDocUtilEvaluation'!I:I,"FAIL")</f>
        <v/>
      </c>
      <c r="E11">
        <f>COUNTIF('AdminDocUtilEvaluation'!I:I,"SKIP")</f>
        <v/>
      </c>
      <c r="F11">
        <f>B11-C11-D11-E11</f>
        <v/>
      </c>
    </row>
    <row r="12">
      <c r="A12" t="inlineStr">
        <is>
          <t>AdminDocUtilFaq</t>
        </is>
      </c>
      <c r="B12" t="n">
        <v>7</v>
      </c>
      <c r="C12">
        <f>COUNTIF('AdminDocUtilFaq'!I:I,"PASS")</f>
        <v/>
      </c>
      <c r="D12">
        <f>COUNTIF('AdminDocUtilFaq'!I:I,"FAIL")</f>
        <v/>
      </c>
      <c r="E12">
        <f>COUNTIF('AdminDocUtilFaq'!I:I,"SKIP")</f>
        <v/>
      </c>
      <c r="F12">
        <f>B12-C12-D12-E12</f>
        <v/>
      </c>
    </row>
    <row r="13">
      <c r="A13" t="inlineStr">
        <is>
          <t>AdminDocUtilProjects</t>
        </is>
      </c>
      <c r="B13" t="n">
        <v>7</v>
      </c>
      <c r="C13">
        <f>COUNTIF('AdminDocUtilProjects'!I:I,"PASS")</f>
        <v/>
      </c>
      <c r="D13">
        <f>COUNTIF('AdminDocUtilProjects'!I:I,"FAIL")</f>
        <v/>
      </c>
      <c r="E13">
        <f>COUNTIF('AdminDocUtilProjects'!I:I,"SKIP")</f>
        <v/>
      </c>
      <c r="F13">
        <f>B13-C13-D13-E13</f>
        <v/>
      </c>
    </row>
    <row r="14">
      <c r="A14" t="inlineStr">
        <is>
          <t>AdminDocUtilReports</t>
        </is>
      </c>
      <c r="B14" t="n">
        <v>7</v>
      </c>
      <c r="C14">
        <f>COUNTIF('AdminDocUtilReports'!I:I,"PASS")</f>
        <v/>
      </c>
      <c r="D14">
        <f>COUNTIF('AdminDocUtilReports'!I:I,"FAIL")</f>
        <v/>
      </c>
      <c r="E14">
        <f>COUNTIF('AdminDocUtilReports'!I:I,"SKIP")</f>
        <v/>
      </c>
      <c r="F14">
        <f>B14-C14-D14-E14</f>
        <v/>
      </c>
    </row>
    <row r="15">
      <c r="A15" t="inlineStr">
        <is>
          <t>AdminDocUtilSearchScopes</t>
        </is>
      </c>
      <c r="B15" t="n">
        <v>7</v>
      </c>
      <c r="C15">
        <f>COUNTIF('AdminDocUtilSearchScopes'!I:I,"PASS")</f>
        <v/>
      </c>
      <c r="D15">
        <f>COUNTIF('AdminDocUtilSearchScopes'!I:I,"FAIL")</f>
        <v/>
      </c>
      <c r="E15">
        <f>COUNTIF('AdminDocUtilSearchScopes'!I:I,"SKIP")</f>
        <v/>
      </c>
      <c r="F15">
        <f>B15-C15-D15-E15</f>
        <v/>
      </c>
    </row>
    <row r="16">
      <c r="A16" t="inlineStr">
        <is>
          <t>AdminDocUtilTemplates</t>
        </is>
      </c>
      <c r="B16" t="n">
        <v>7</v>
      </c>
      <c r="C16">
        <f>COUNTIF('AdminDocUtilTemplates'!I:I,"PASS")</f>
        <v/>
      </c>
      <c r="D16">
        <f>COUNTIF('AdminDocUtilTemplates'!I:I,"FAIL")</f>
        <v/>
      </c>
      <c r="E16">
        <f>COUNTIF('AdminDocUtilTemplates'!I:I,"SKIP")</f>
        <v/>
      </c>
      <c r="F16">
        <f>B16-C16-D16-E16</f>
        <v/>
      </c>
    </row>
    <row r="17">
      <c r="A17" t="inlineStr">
        <is>
          <t>AdminDocUtilUsers</t>
        </is>
      </c>
      <c r="B17" t="n">
        <v>7</v>
      </c>
      <c r="C17">
        <f>COUNTIF('AdminDocUtilUsers'!I:I,"PASS")</f>
        <v/>
      </c>
      <c r="D17">
        <f>COUNTIF('AdminDocUtilUsers'!I:I,"FAIL")</f>
        <v/>
      </c>
      <c r="E17">
        <f>COUNTIF('AdminDocUtilUsers'!I:I,"SKIP")</f>
        <v/>
      </c>
      <c r="F17">
        <f>B17-C17-D17-E17</f>
        <v/>
      </c>
    </row>
    <row r="18">
      <c r="A18" t="inlineStr">
        <is>
          <t>AdminKnowledgeBase</t>
        </is>
      </c>
      <c r="B18" t="n">
        <v>7</v>
      </c>
      <c r="C18">
        <f>COUNTIF('AdminKnowledgeBase'!I:I,"PASS")</f>
        <v/>
      </c>
      <c r="D18">
        <f>COUNTIF('AdminKnowledgeBase'!I:I,"FAIL")</f>
        <v/>
      </c>
      <c r="E18">
        <f>COUNTIF('AdminKnowledgeBase'!I:I,"SKIP")</f>
        <v/>
      </c>
      <c r="F18">
        <f>B18-C18-D18-E18</f>
        <v/>
      </c>
    </row>
    <row r="19">
      <c r="A19" t="inlineStr">
        <is>
          <t>AdminKnowledgeBaseUpload</t>
        </is>
      </c>
      <c r="B19" t="n">
        <v>6</v>
      </c>
      <c r="C19">
        <f>COUNTIF('AdminKnowledgeBaseUpload'!I:I,"PASS")</f>
        <v/>
      </c>
      <c r="D19">
        <f>COUNTIF('AdminKnowledgeBaseUpload'!I:I,"FAIL")</f>
        <v/>
      </c>
      <c r="E19">
        <f>COUNTIF('AdminKnowledgeBaseUpload'!I:I,"SKIP")</f>
        <v/>
      </c>
      <c r="F19">
        <f>B19-C19-D19-E19</f>
        <v/>
      </c>
    </row>
    <row r="20">
      <c r="A20" t="inlineStr">
        <is>
          <t>AdminRagMetrics</t>
        </is>
      </c>
      <c r="B20" t="n">
        <v>7</v>
      </c>
      <c r="C20">
        <f>COUNTIF('AdminRagMetrics'!I:I,"PASS")</f>
        <v/>
      </c>
      <c r="D20">
        <f>COUNTIF('AdminRagMetrics'!I:I,"FAIL")</f>
        <v/>
      </c>
      <c r="E20">
        <f>COUNTIF('AdminRagMetrics'!I:I,"SKIP")</f>
        <v/>
      </c>
      <c r="F20">
        <f>B20-C20-D20-E20</f>
        <v/>
      </c>
    </row>
    <row r="21">
      <c r="A21" t="inlineStr">
        <is>
          <t>AgentBuilder</t>
        </is>
      </c>
      <c r="B21" t="n">
        <v>7</v>
      </c>
      <c r="C21">
        <f>COUNTIF('AgentBuilder'!I:I,"PASS")</f>
        <v/>
      </c>
      <c r="D21">
        <f>COUNTIF('AgentBuilder'!I:I,"FAIL")</f>
        <v/>
      </c>
      <c r="E21">
        <f>COUNTIF('AgentBuilder'!I:I,"SKIP")</f>
        <v/>
      </c>
      <c r="F21">
        <f>B21-C21-D21-E21</f>
        <v/>
      </c>
    </row>
    <row r="22">
      <c r="A22" t="inlineStr">
        <is>
          <t>AgentChat</t>
        </is>
      </c>
      <c r="B22" t="n">
        <v>7</v>
      </c>
      <c r="C22">
        <f>COUNTIF('AgentChat'!I:I,"PASS")</f>
        <v/>
      </c>
      <c r="D22">
        <f>COUNTIF('AgentChat'!I:I,"FAIL")</f>
        <v/>
      </c>
      <c r="E22">
        <f>COUNTIF('AgentChat'!I:I,"SKIP")</f>
        <v/>
      </c>
      <c r="F22">
        <f>B22-C22-D22-E22</f>
        <v/>
      </c>
    </row>
    <row r="23">
      <c r="A23" t="inlineStr">
        <is>
          <t>AgentEmbed</t>
        </is>
      </c>
      <c r="B23" t="n">
        <v>5</v>
      </c>
      <c r="C23">
        <f>COUNTIF('AgentEmbed'!I:I,"PASS")</f>
        <v/>
      </c>
      <c r="D23">
        <f>COUNTIF('AgentEmbed'!I:I,"FAIL")</f>
        <v/>
      </c>
      <c r="E23">
        <f>COUNTIF('AgentEmbed'!I:I,"SKIP")</f>
        <v/>
      </c>
      <c r="F23">
        <f>B23-C23-D23-E23</f>
        <v/>
      </c>
    </row>
    <row r="24">
      <c r="A24" t="inlineStr">
        <is>
          <t>AgentMarketplace</t>
        </is>
      </c>
      <c r="B24" t="n">
        <v>7</v>
      </c>
      <c r="C24">
        <f>COUNTIF('AgentMarketplace'!I:I,"PASS")</f>
        <v/>
      </c>
      <c r="D24">
        <f>COUNTIF('AgentMarketplace'!I:I,"FAIL")</f>
        <v/>
      </c>
      <c r="E24">
        <f>COUNTIF('AgentMarketplace'!I:I,"SKIP")</f>
        <v/>
      </c>
      <c r="F24">
        <f>B24-C24-D24-E24</f>
        <v/>
      </c>
    </row>
    <row r="25">
      <c r="A25" t="inlineStr">
        <is>
          <t>AgentMultiChat</t>
        </is>
      </c>
      <c r="B25" t="n">
        <v>7</v>
      </c>
      <c r="C25">
        <f>COUNTIF('AgentMultiChat'!I:I,"PASS")</f>
        <v/>
      </c>
      <c r="D25">
        <f>COUNTIF('AgentMultiChat'!I:I,"FAIL")</f>
        <v/>
      </c>
      <c r="E25">
        <f>COUNTIF('AgentMultiChat'!I:I,"SKIP")</f>
        <v/>
      </c>
      <c r="F25">
        <f>B25-C25-D25-E25</f>
        <v/>
      </c>
    </row>
    <row r="26">
      <c r="A26" t="inlineStr">
        <is>
          <t>AgentPublicChat</t>
        </is>
      </c>
      <c r="B26" t="n">
        <v>5</v>
      </c>
      <c r="C26">
        <f>COUNTIF('AgentPublicChat'!I:I,"PASS")</f>
        <v/>
      </c>
      <c r="D26">
        <f>COUNTIF('AgentPublicChat'!I:I,"FAIL")</f>
        <v/>
      </c>
      <c r="E26">
        <f>COUNTIF('AgentPublicChat'!I:I,"SKIP")</f>
        <v/>
      </c>
      <c r="F26">
        <f>B26-C26-D26-E26</f>
        <v/>
      </c>
    </row>
    <row r="27">
      <c r="A27" t="inlineStr">
        <is>
          <t>AgentTemplates</t>
        </is>
      </c>
      <c r="B27" t="n">
        <v>7</v>
      </c>
      <c r="C27">
        <f>COUNTIF('AgentTemplates'!I:I,"PASS")</f>
        <v/>
      </c>
      <c r="D27">
        <f>COUNTIF('AgentTemplates'!I:I,"FAIL")</f>
        <v/>
      </c>
      <c r="E27">
        <f>COUNTIF('AgentTemplates'!I:I,"SKIP")</f>
        <v/>
      </c>
      <c r="F27">
        <f>B27-C27-D27-E27</f>
        <v/>
      </c>
    </row>
    <row r="28">
      <c r="A28" t="inlineStr">
        <is>
          <t>AgentTestPage</t>
        </is>
      </c>
      <c r="B28" t="n">
        <v>4</v>
      </c>
      <c r="C28">
        <f>COUNTIF('AgentTestPage'!I:I,"PASS")</f>
        <v/>
      </c>
      <c r="D28">
        <f>COUNTIF('AgentTestPage'!I:I,"FAIL")</f>
        <v/>
      </c>
      <c r="E28">
        <f>COUNTIF('AgentTestPage'!I:I,"SKIP")</f>
        <v/>
      </c>
      <c r="F28">
        <f>B28-C28-D28-E28</f>
        <v/>
      </c>
    </row>
    <row r="29">
      <c r="A29" t="inlineStr">
        <is>
          <t>Agents</t>
        </is>
      </c>
      <c r="B29" t="n">
        <v>7</v>
      </c>
      <c r="C29">
        <f>COUNTIF('Agents'!I:I,"PASS")</f>
        <v/>
      </c>
      <c r="D29">
        <f>COUNTIF('Agents'!I:I,"FAIL")</f>
        <v/>
      </c>
      <c r="E29">
        <f>COUNTIF('Agents'!I:I,"SKIP")</f>
        <v/>
      </c>
      <c r="F29">
        <f>B29-C29-D29-E29</f>
        <v/>
      </c>
    </row>
    <row r="30">
      <c r="A30" t="inlineStr">
        <is>
          <t>Analytics</t>
        </is>
      </c>
      <c r="B30" t="n">
        <v>7</v>
      </c>
      <c r="C30">
        <f>COUNTIF('Analytics'!I:I,"PASS")</f>
        <v/>
      </c>
      <c r="D30">
        <f>COUNTIF('Analytics'!I:I,"FAIL")</f>
        <v/>
      </c>
      <c r="E30">
        <f>COUNTIF('Analytics'!I:I,"SKIP")</f>
        <v/>
      </c>
      <c r="F30">
        <f>B30-C30-D30-E30</f>
        <v/>
      </c>
    </row>
    <row r="31">
      <c r="A31" t="inlineStr">
        <is>
          <t>ApiKeys</t>
        </is>
      </c>
      <c r="B31" t="n">
        <v>8</v>
      </c>
      <c r="C31">
        <f>COUNTIF('ApiKeys'!I:I,"PASS")</f>
        <v/>
      </c>
      <c r="D31">
        <f>COUNTIF('ApiKeys'!I:I,"FAIL")</f>
        <v/>
      </c>
      <c r="E31">
        <f>COUNTIF('ApiKeys'!I:I,"SKIP")</f>
        <v/>
      </c>
      <c r="F31">
        <f>B31-C31-D31-E31</f>
        <v/>
      </c>
    </row>
    <row r="32">
      <c r="A32" t="inlineStr">
        <is>
          <t>AuditLog</t>
        </is>
      </c>
      <c r="B32" t="n">
        <v>7</v>
      </c>
      <c r="C32">
        <f>COUNTIF('AuditLog'!I:I,"PASS")</f>
        <v/>
      </c>
      <c r="D32">
        <f>COUNTIF('AuditLog'!I:I,"FAIL")</f>
        <v/>
      </c>
      <c r="E32">
        <f>COUNTIF('AuditLog'!I:I,"SKIP")</f>
        <v/>
      </c>
      <c r="F32">
        <f>B32-C32-D32-E32</f>
        <v/>
      </c>
    </row>
    <row r="33">
      <c r="A33" t="inlineStr">
        <is>
          <t>BannedWords</t>
        </is>
      </c>
      <c r="B33" t="n">
        <v>7</v>
      </c>
      <c r="C33">
        <f>COUNTIF('BannedWords'!I:I,"PASS")</f>
        <v/>
      </c>
      <c r="D33">
        <f>COUNTIF('BannedWords'!I:I,"FAIL")</f>
        <v/>
      </c>
      <c r="E33">
        <f>COUNTIF('BannedWords'!I:I,"SKIP")</f>
        <v/>
      </c>
      <c r="F33">
        <f>B33-C33-D33-E33</f>
        <v/>
      </c>
    </row>
    <row r="34">
      <c r="A34" t="inlineStr">
        <is>
          <t>CostAnalysis</t>
        </is>
      </c>
      <c r="B34" t="n">
        <v>7</v>
      </c>
      <c r="C34">
        <f>COUNTIF('CostAnalysis'!I:I,"PASS")</f>
        <v/>
      </c>
      <c r="D34">
        <f>COUNTIF('CostAnalysis'!I:I,"FAIL")</f>
        <v/>
      </c>
      <c r="E34">
        <f>COUNTIF('CostAnalysis'!I:I,"SKIP")</f>
        <v/>
      </c>
      <c r="F34">
        <f>B34-C34-D34-E34</f>
        <v/>
      </c>
    </row>
    <row r="35">
      <c r="A35" t="inlineStr">
        <is>
          <t>DU_AdminAccounts</t>
        </is>
      </c>
      <c r="B35" t="n">
        <v>4</v>
      </c>
      <c r="C35">
        <f>COUNTIF('DU_AdminAccounts'!I:I,"PASS")</f>
        <v/>
      </c>
      <c r="D35">
        <f>COUNTIF('DU_AdminAccounts'!I:I,"FAIL")</f>
        <v/>
      </c>
      <c r="E35">
        <f>COUNTIF('DU_AdminAccounts'!I:I,"SKIP")</f>
        <v/>
      </c>
      <c r="F35">
        <f>B35-C35-D35-E35</f>
        <v/>
      </c>
    </row>
    <row r="36">
      <c r="A36" t="inlineStr">
        <is>
          <t>DU_AdminDashboard</t>
        </is>
      </c>
      <c r="B36" t="n">
        <v>4</v>
      </c>
      <c r="C36">
        <f>COUNTIF('DU_AdminDashboard'!I:I,"PASS")</f>
        <v/>
      </c>
      <c r="D36">
        <f>COUNTIF('DU_AdminDashboard'!I:I,"FAIL")</f>
        <v/>
      </c>
      <c r="E36">
        <f>COUNTIF('DU_AdminDashboard'!I:I,"SKIP")</f>
        <v/>
      </c>
      <c r="F36">
        <f>B36-C36-D36-E36</f>
        <v/>
      </c>
    </row>
    <row r="37">
      <c r="A37" t="inlineStr">
        <is>
          <t>DU_Agents</t>
        </is>
      </c>
      <c r="B37" t="n">
        <v>4</v>
      </c>
      <c r="C37">
        <f>COUNTIF('DU_Agents'!I:I,"PASS")</f>
        <v/>
      </c>
      <c r="D37">
        <f>COUNTIF('DU_Agents'!I:I,"FAIL")</f>
        <v/>
      </c>
      <c r="E37">
        <f>COUNTIF('DU_Agents'!I:I,"SKIP")</f>
        <v/>
      </c>
      <c r="F37">
        <f>B37-C37-D37-E37</f>
        <v/>
      </c>
    </row>
    <row r="38">
      <c r="A38" t="inlineStr">
        <is>
          <t>DU_ApiKeys</t>
        </is>
      </c>
      <c r="B38" t="n">
        <v>4</v>
      </c>
      <c r="C38">
        <f>COUNTIF('DU_ApiKeys'!I:I,"PASS")</f>
        <v/>
      </c>
      <c r="D38">
        <f>COUNTIF('DU_ApiKeys'!I:I,"FAIL")</f>
        <v/>
      </c>
      <c r="E38">
        <f>COUNTIF('DU_ApiKeys'!I:I,"SKIP")</f>
        <v/>
      </c>
      <c r="F38">
        <f>B38-C38-D38-E38</f>
        <v/>
      </c>
    </row>
    <row r="39">
      <c r="A39" t="inlineStr">
        <is>
          <t>DU_Chat</t>
        </is>
      </c>
      <c r="B39" t="n">
        <v>4</v>
      </c>
      <c r="C39">
        <f>COUNTIF('DU_Chat'!I:I,"PASS")</f>
        <v/>
      </c>
      <c r="D39">
        <f>COUNTIF('DU_Chat'!I:I,"FAIL")</f>
        <v/>
      </c>
      <c r="E39">
        <f>COUNTIF('DU_Chat'!I:I,"SKIP")</f>
        <v/>
      </c>
      <c r="F39">
        <f>B39-C39-D39-E39</f>
        <v/>
      </c>
    </row>
    <row r="40">
      <c r="A40" t="inlineStr">
        <is>
          <t>DU_Departments</t>
        </is>
      </c>
      <c r="B40" t="n">
        <v>4</v>
      </c>
      <c r="C40">
        <f>COUNTIF('DU_Departments'!I:I,"PASS")</f>
        <v/>
      </c>
      <c r="D40">
        <f>COUNTIF('DU_Departments'!I:I,"FAIL")</f>
        <v/>
      </c>
      <c r="E40">
        <f>COUNTIF('DU_Departments'!I:I,"SKIP")</f>
        <v/>
      </c>
      <c r="F40">
        <f>B40-C40-D40-E40</f>
        <v/>
      </c>
    </row>
    <row r="41">
      <c r="A41" t="inlineStr">
        <is>
          <t>DU_DesignerCreate</t>
        </is>
      </c>
      <c r="B41" t="n">
        <v>4</v>
      </c>
      <c r="C41">
        <f>COUNTIF('DU_DesignerCreate'!I:I,"PASS")</f>
        <v/>
      </c>
      <c r="D41">
        <f>COUNTIF('DU_DesignerCreate'!I:I,"FAIL")</f>
        <v/>
      </c>
      <c r="E41">
        <f>COUNTIF('DU_DesignerCreate'!I:I,"SKIP")</f>
        <v/>
      </c>
      <c r="F41">
        <f>B41-C41-D41-E41</f>
        <v/>
      </c>
    </row>
    <row r="42">
      <c r="A42" t="inlineStr">
        <is>
          <t>DU_DesignerDocument</t>
        </is>
      </c>
      <c r="B42" t="n">
        <v>4</v>
      </c>
      <c r="C42">
        <f>COUNTIF('DU_DesignerDocument'!I:I,"PASS")</f>
        <v/>
      </c>
      <c r="D42">
        <f>COUNTIF('DU_DesignerDocument'!I:I,"FAIL")</f>
        <v/>
      </c>
      <c r="E42">
        <f>COUNTIF('DU_DesignerDocument'!I:I,"SKIP")</f>
        <v/>
      </c>
      <c r="F42">
        <f>B42-C42-D42-E42</f>
        <v/>
      </c>
    </row>
    <row r="43">
      <c r="A43" t="inlineStr">
        <is>
          <t>DU_DesignerFill</t>
        </is>
      </c>
      <c r="B43" t="n">
        <v>4</v>
      </c>
      <c r="C43">
        <f>COUNTIF('DU_DesignerFill'!I:I,"PASS")</f>
        <v/>
      </c>
      <c r="D43">
        <f>COUNTIF('DU_DesignerFill'!I:I,"FAIL")</f>
        <v/>
      </c>
      <c r="E43">
        <f>COUNTIF('DU_DesignerFill'!I:I,"SKIP")</f>
        <v/>
      </c>
      <c r="F43">
        <f>B43-C43-D43-E43</f>
        <v/>
      </c>
    </row>
    <row r="44">
      <c r="A44" t="inlineStr">
        <is>
          <t>DU_Documents</t>
        </is>
      </c>
      <c r="B44" t="n">
        <v>4</v>
      </c>
      <c r="C44">
        <f>COUNTIF('DU_Documents'!I:I,"PASS")</f>
        <v/>
      </c>
      <c r="D44">
        <f>COUNTIF('DU_Documents'!I:I,"FAIL")</f>
        <v/>
      </c>
      <c r="E44">
        <f>COUNTIF('DU_Documents'!I:I,"SKIP")</f>
        <v/>
      </c>
      <c r="F44">
        <f>B44-C44-D44-E44</f>
        <v/>
      </c>
    </row>
    <row r="45">
      <c r="A45" t="inlineStr">
        <is>
          <t>DU_Evaluation</t>
        </is>
      </c>
      <c r="B45" t="n">
        <v>4</v>
      </c>
      <c r="C45">
        <f>COUNTIF('DU_Evaluation'!I:I,"PASS")</f>
        <v/>
      </c>
      <c r="D45">
        <f>COUNTIF('DU_Evaluation'!I:I,"FAIL")</f>
        <v/>
      </c>
      <c r="E45">
        <f>COUNTIF('DU_Evaluation'!I:I,"SKIP")</f>
        <v/>
      </c>
      <c r="F45">
        <f>B45-C45-D45-E45</f>
        <v/>
      </c>
    </row>
    <row r="46">
      <c r="A46" t="inlineStr">
        <is>
          <t>DU_Help</t>
        </is>
      </c>
      <c r="B46" t="n">
        <v>4</v>
      </c>
      <c r="C46">
        <f>COUNTIF('DU_Help'!I:I,"PASS")</f>
        <v/>
      </c>
      <c r="D46">
        <f>COUNTIF('DU_Help'!I:I,"FAIL")</f>
        <v/>
      </c>
      <c r="E46">
        <f>COUNTIF('DU_Help'!I:I,"SKIP")</f>
        <v/>
      </c>
      <c r="F46">
        <f>B46-C46-D46-E46</f>
        <v/>
      </c>
    </row>
    <row r="47">
      <c r="A47" t="inlineStr">
        <is>
          <t>DU_Home</t>
        </is>
      </c>
      <c r="B47" t="n">
        <v>4</v>
      </c>
      <c r="C47">
        <f>COUNTIF('DU_Home'!I:I,"PASS")</f>
        <v/>
      </c>
      <c r="D47">
        <f>COUNTIF('DU_Home'!I:I,"FAIL")</f>
        <v/>
      </c>
      <c r="E47">
        <f>COUNTIF('DU_Home'!I:I,"SKIP")</f>
        <v/>
      </c>
      <c r="F47">
        <f>B47-C47-D47-E47</f>
        <v/>
      </c>
    </row>
    <row r="48">
      <c r="A48" t="inlineStr">
        <is>
          <t>DU_Login</t>
        </is>
      </c>
      <c r="B48" t="n">
        <v>4</v>
      </c>
      <c r="C48">
        <f>COUNTIF('DU_Login'!I:I,"PASS")</f>
        <v/>
      </c>
      <c r="D48">
        <f>COUNTIF('DU_Login'!I:I,"FAIL")</f>
        <v/>
      </c>
      <c r="E48">
        <f>COUNTIF('DU_Login'!I:I,"SKIP")</f>
        <v/>
      </c>
      <c r="F48">
        <f>B48-C48-D48-E48</f>
        <v/>
      </c>
    </row>
    <row r="49">
      <c r="A49" t="inlineStr">
        <is>
          <t>DU_MyDocuments</t>
        </is>
      </c>
      <c r="B49" t="n">
        <v>4</v>
      </c>
      <c r="C49">
        <f>COUNTIF('DU_MyDocuments'!I:I,"PASS")</f>
        <v/>
      </c>
      <c r="D49">
        <f>COUNTIF('DU_MyDocuments'!I:I,"FAIL")</f>
        <v/>
      </c>
      <c r="E49">
        <f>COUNTIF('DU_MyDocuments'!I:I,"SKIP")</f>
        <v/>
      </c>
      <c r="F49">
        <f>B49-C49-D49-E49</f>
        <v/>
      </c>
    </row>
    <row r="50">
      <c r="A50" t="inlineStr">
        <is>
          <t>DU_PreviewHost</t>
        </is>
      </c>
      <c r="B50" t="n">
        <v>4</v>
      </c>
      <c r="C50">
        <f>COUNTIF('DU_PreviewHost'!I:I,"PASS")</f>
        <v/>
      </c>
      <c r="D50">
        <f>COUNTIF('DU_PreviewHost'!I:I,"FAIL")</f>
        <v/>
      </c>
      <c r="E50">
        <f>COUNTIF('DU_PreviewHost'!I:I,"SKIP")</f>
        <v/>
      </c>
      <c r="F50">
        <f>B50-C50-D50-E50</f>
        <v/>
      </c>
    </row>
    <row r="51">
      <c r="A51" t="inlineStr">
        <is>
          <t>DU_Projects</t>
        </is>
      </c>
      <c r="B51" t="n">
        <v>4</v>
      </c>
      <c r="C51">
        <f>COUNTIF('DU_Projects'!I:I,"PASS")</f>
        <v/>
      </c>
      <c r="D51">
        <f>COUNTIF('DU_Projects'!I:I,"FAIL")</f>
        <v/>
      </c>
      <c r="E51">
        <f>COUNTIF('DU_Projects'!I:I,"SKIP")</f>
        <v/>
      </c>
      <c r="F51">
        <f>B51-C51-D51-E51</f>
        <v/>
      </c>
    </row>
    <row r="52">
      <c r="A52" t="inlineStr">
        <is>
          <t>DU_QuickGuide</t>
        </is>
      </c>
      <c r="B52" t="n">
        <v>4</v>
      </c>
      <c r="C52">
        <f>COUNTIF('DU_QuickGuide'!I:I,"PASS")</f>
        <v/>
      </c>
      <c r="D52">
        <f>COUNTIF('DU_QuickGuide'!I:I,"FAIL")</f>
        <v/>
      </c>
      <c r="E52">
        <f>COUNTIF('DU_QuickGuide'!I:I,"SKIP")</f>
        <v/>
      </c>
      <c r="F52">
        <f>B52-C52-D52-E52</f>
        <v/>
      </c>
    </row>
    <row r="53">
      <c r="A53" t="inlineStr">
        <is>
          <t>DU_Quotas</t>
        </is>
      </c>
      <c r="B53" t="n">
        <v>4</v>
      </c>
      <c r="C53">
        <f>COUNTIF('DU_Quotas'!I:I,"PASS")</f>
        <v/>
      </c>
      <c r="D53">
        <f>COUNTIF('DU_Quotas'!I:I,"FAIL")</f>
        <v/>
      </c>
      <c r="E53">
        <f>COUNTIF('DU_Quotas'!I:I,"SKIP")</f>
        <v/>
      </c>
      <c r="F53">
        <f>B53-C53-D53-E53</f>
        <v/>
      </c>
    </row>
    <row r="54">
      <c r="A54" t="inlineStr">
        <is>
          <t>DU_Reports</t>
        </is>
      </c>
      <c r="B54" t="n">
        <v>4</v>
      </c>
      <c r="C54">
        <f>COUNTIF('DU_Reports'!I:I,"PASS")</f>
        <v/>
      </c>
      <c r="D54">
        <f>COUNTIF('DU_Reports'!I:I,"FAIL")</f>
        <v/>
      </c>
      <c r="E54">
        <f>COUNTIF('DU_Reports'!I:I,"SKIP")</f>
        <v/>
      </c>
      <c r="F54">
        <f>B54-C54-D54-E54</f>
        <v/>
      </c>
    </row>
    <row r="55">
      <c r="A55" t="inlineStr">
        <is>
          <t>DU_Search</t>
        </is>
      </c>
      <c r="B55" t="n">
        <v>4</v>
      </c>
      <c r="C55">
        <f>COUNTIF('DU_Search'!I:I,"PASS")</f>
        <v/>
      </c>
      <c r="D55">
        <f>COUNTIF('DU_Search'!I:I,"FAIL")</f>
        <v/>
      </c>
      <c r="E55">
        <f>COUNTIF('DU_Search'!I:I,"SKIP")</f>
        <v/>
      </c>
      <c r="F55">
        <f>B55-C55-D55-E55</f>
        <v/>
      </c>
    </row>
    <row r="56">
      <c r="A56" t="inlineStr">
        <is>
          <t>DU_SearchScopes</t>
        </is>
      </c>
      <c r="B56" t="n">
        <v>4</v>
      </c>
      <c r="C56">
        <f>COUNTIF('DU_SearchScopes'!I:I,"PASS")</f>
        <v/>
      </c>
      <c r="D56">
        <f>COUNTIF('DU_SearchScopes'!I:I,"FAIL")</f>
        <v/>
      </c>
      <c r="E56">
        <f>COUNTIF('DU_SearchScopes'!I:I,"SKIP")</f>
        <v/>
      </c>
      <c r="F56">
        <f>B56-C56-D56-E56</f>
        <v/>
      </c>
    </row>
    <row r="57">
      <c r="A57" t="inlineStr">
        <is>
          <t>DU_SearchTest</t>
        </is>
      </c>
      <c r="B57" t="n">
        <v>4</v>
      </c>
      <c r="C57">
        <f>COUNTIF('DU_SearchTest'!I:I,"PASS")</f>
        <v/>
      </c>
      <c r="D57">
        <f>COUNTIF('DU_SearchTest'!I:I,"FAIL")</f>
        <v/>
      </c>
      <c r="E57">
        <f>COUNTIF('DU_SearchTest'!I:I,"SKIP")</f>
        <v/>
      </c>
      <c r="F57">
        <f>B57-C57-D57-E57</f>
        <v/>
      </c>
    </row>
    <row r="58">
      <c r="A58" t="inlineStr">
        <is>
          <t>DU_Settings</t>
        </is>
      </c>
      <c r="B58" t="n">
        <v>4</v>
      </c>
      <c r="C58">
        <f>COUNTIF('DU_Settings'!I:I,"PASS")</f>
        <v/>
      </c>
      <c r="D58">
        <f>COUNTIF('DU_Settings'!I:I,"FAIL")</f>
        <v/>
      </c>
      <c r="E58">
        <f>COUNTIF('DU_Settings'!I:I,"SKIP")</f>
        <v/>
      </c>
      <c r="F58">
        <f>B58-C58-D58-E58</f>
        <v/>
      </c>
    </row>
    <row r="59">
      <c r="A59" t="inlineStr">
        <is>
          <t>DU_Templates</t>
        </is>
      </c>
      <c r="B59" t="n">
        <v>4</v>
      </c>
      <c r="C59">
        <f>COUNTIF('DU_Templates'!I:I,"PASS")</f>
        <v/>
      </c>
      <c r="D59">
        <f>COUNTIF('DU_Templates'!I:I,"FAIL")</f>
        <v/>
      </c>
      <c r="E59">
        <f>COUNTIF('DU_Templates'!I:I,"SKIP")</f>
        <v/>
      </c>
      <c r="F59">
        <f>B59-C59-D59-E59</f>
        <v/>
      </c>
    </row>
    <row r="60">
      <c r="A60" t="inlineStr">
        <is>
          <t>Dashboard</t>
        </is>
      </c>
      <c r="B60" t="n">
        <v>7</v>
      </c>
      <c r="C60">
        <f>COUNTIF('Dashboard'!I:I,"PASS")</f>
        <v/>
      </c>
      <c r="D60">
        <f>COUNTIF('Dashboard'!I:I,"FAIL")</f>
        <v/>
      </c>
      <c r="E60">
        <f>COUNTIF('Dashboard'!I:I,"SKIP")</f>
        <v/>
      </c>
      <c r="F60">
        <f>B60-C60-D60-E60</f>
        <v/>
      </c>
    </row>
    <row r="61">
      <c r="A61" t="inlineStr">
        <is>
          <t>DatabaseBackup</t>
        </is>
      </c>
      <c r="B61" t="n">
        <v>7</v>
      </c>
      <c r="C61">
        <f>COUNTIF('DatabaseBackup'!I:I,"PASS")</f>
        <v/>
      </c>
      <c r="D61">
        <f>COUNTIF('DatabaseBackup'!I:I,"FAIL")</f>
        <v/>
      </c>
      <c r="E61">
        <f>COUNTIF('DatabaseBackup'!I:I,"SKIP")</f>
        <v/>
      </c>
      <c r="F61">
        <f>B61-C61-D61-E61</f>
        <v/>
      </c>
    </row>
    <row r="62">
      <c r="A62" t="inlineStr">
        <is>
          <t>ForgotPassword</t>
        </is>
      </c>
      <c r="B62" t="n">
        <v>4</v>
      </c>
      <c r="C62">
        <f>COUNTIF('ForgotPassword'!I:I,"PASS")</f>
        <v/>
      </c>
      <c r="D62">
        <f>COUNTIF('ForgotPassword'!I:I,"FAIL")</f>
        <v/>
      </c>
      <c r="E62">
        <f>COUNTIF('ForgotPassword'!I:I,"SKIP")</f>
        <v/>
      </c>
      <c r="F62">
        <f>B62-C62-D62-E62</f>
        <v/>
      </c>
    </row>
    <row r="63">
      <c r="A63" t="inlineStr">
        <is>
          <t>Help</t>
        </is>
      </c>
      <c r="B63" t="n">
        <v>7</v>
      </c>
      <c r="C63">
        <f>COUNTIF('Help'!I:I,"PASS")</f>
        <v/>
      </c>
      <c r="D63">
        <f>COUNTIF('Help'!I:I,"FAIL")</f>
        <v/>
      </c>
      <c r="E63">
        <f>COUNTIF('Help'!I:I,"SKIP")</f>
        <v/>
      </c>
      <c r="F63">
        <f>B63-C63-D63-E63</f>
        <v/>
      </c>
    </row>
    <row r="64">
      <c r="A64" t="inlineStr">
        <is>
          <t>ImageGeneration</t>
        </is>
      </c>
      <c r="B64" t="n">
        <v>7</v>
      </c>
      <c r="C64">
        <f>COUNTIF('ImageGeneration'!I:I,"PASS")</f>
        <v/>
      </c>
      <c r="D64">
        <f>COUNTIF('ImageGeneration'!I:I,"FAIL")</f>
        <v/>
      </c>
      <c r="E64">
        <f>COUNTIF('ImageGeneration'!I:I,"SKIP")</f>
        <v/>
      </c>
      <c r="F64">
        <f>B64-C64-D64-E64</f>
        <v/>
      </c>
    </row>
    <row r="65">
      <c r="A65" t="inlineStr">
        <is>
          <t>Landing</t>
        </is>
      </c>
      <c r="B65" t="n">
        <v>4</v>
      </c>
      <c r="C65">
        <f>COUNTIF('Landing'!I:I,"PASS")</f>
        <v/>
      </c>
      <c r="D65">
        <f>COUNTIF('Landing'!I:I,"FAIL")</f>
        <v/>
      </c>
      <c r="E65">
        <f>COUNTIF('Landing'!I:I,"SKIP")</f>
        <v/>
      </c>
      <c r="F65">
        <f>B65-C65-D65-E65</f>
        <v/>
      </c>
    </row>
    <row r="66">
      <c r="A66" t="inlineStr">
        <is>
          <t>Login</t>
        </is>
      </c>
      <c r="B66" t="n">
        <v>7</v>
      </c>
      <c r="C66">
        <f>COUNTIF('Login'!I:I,"PASS")</f>
        <v/>
      </c>
      <c r="D66">
        <f>COUNTIF('Login'!I:I,"FAIL")</f>
        <v/>
      </c>
      <c r="E66">
        <f>COUNTIF('Login'!I:I,"SKIP")</f>
        <v/>
      </c>
      <c r="F66">
        <f>B66-C66-D66-E66</f>
        <v/>
      </c>
    </row>
    <row r="67">
      <c r="A67" t="inlineStr">
        <is>
          <t>PiiProtection</t>
        </is>
      </c>
      <c r="B67" t="n">
        <v>7</v>
      </c>
      <c r="C67">
        <f>COUNTIF('PiiProtection'!I:I,"PASS")</f>
        <v/>
      </c>
      <c r="D67">
        <f>COUNTIF('PiiProtection'!I:I,"FAIL")</f>
        <v/>
      </c>
      <c r="E67">
        <f>COUNTIF('PiiProtection'!I:I,"SKIP")</f>
        <v/>
      </c>
      <c r="F67">
        <f>B67-C67-D67-E67</f>
        <v/>
      </c>
    </row>
    <row r="68">
      <c r="A68" t="inlineStr">
        <is>
          <t>Playground</t>
        </is>
      </c>
      <c r="B68" t="n">
        <v>7</v>
      </c>
      <c r="C68">
        <f>COUNTIF('Playground'!I:I,"PASS")</f>
        <v/>
      </c>
      <c r="D68">
        <f>COUNTIF('Playground'!I:I,"FAIL")</f>
        <v/>
      </c>
      <c r="E68">
        <f>COUNTIF('Playground'!I:I,"SKIP")</f>
        <v/>
      </c>
      <c r="F68">
        <f>B68-C68-D68-E68</f>
        <v/>
      </c>
    </row>
    <row r="69">
      <c r="A69" t="inlineStr">
        <is>
          <t>PresentationBuilder</t>
        </is>
      </c>
      <c r="B69" t="n">
        <v>7</v>
      </c>
      <c r="C69">
        <f>COUNTIF('PresentationBuilder'!I:I,"PASS")</f>
        <v/>
      </c>
      <c r="D69">
        <f>COUNTIF('PresentationBuilder'!I:I,"FAIL")</f>
        <v/>
      </c>
      <c r="E69">
        <f>COUNTIF('PresentationBuilder'!I:I,"SKIP")</f>
        <v/>
      </c>
      <c r="F69">
        <f>B69-C69-D69-E69</f>
        <v/>
      </c>
    </row>
    <row r="70">
      <c r="A70" t="inlineStr">
        <is>
          <t>PresentationTemplateManagement</t>
        </is>
      </c>
      <c r="B70" t="n">
        <v>7</v>
      </c>
      <c r="C70">
        <f>COUNTIF('PresentationTemplateManagement'!I:I,"PASS")</f>
        <v/>
      </c>
      <c r="D70">
        <f>COUNTIF('PresentationTemplateManagement'!I:I,"FAIL")</f>
        <v/>
      </c>
      <c r="E70">
        <f>COUNTIF('PresentationTemplateManagement'!I:I,"SKIP")</f>
        <v/>
      </c>
      <c r="F70">
        <f>B70-C70-D70-E70</f>
        <v/>
      </c>
    </row>
    <row r="71">
      <c r="A71" t="inlineStr">
        <is>
          <t>PrivacyPolicy</t>
        </is>
      </c>
      <c r="B71" t="n">
        <v>4</v>
      </c>
      <c r="C71">
        <f>COUNTIF('PrivacyPolicy'!I:I,"PASS")</f>
        <v/>
      </c>
      <c r="D71">
        <f>COUNTIF('PrivacyPolicy'!I:I,"FAIL")</f>
        <v/>
      </c>
      <c r="E71">
        <f>COUNTIF('PrivacyPolicy'!I:I,"SKIP")</f>
        <v/>
      </c>
      <c r="F71">
        <f>B71-C71-D71-E71</f>
        <v/>
      </c>
    </row>
    <row r="72">
      <c r="A72" t="inlineStr">
        <is>
          <t>QuickImageGeneration</t>
        </is>
      </c>
      <c r="B72" t="n">
        <v>7</v>
      </c>
      <c r="C72">
        <f>COUNTIF('QuickImageGeneration'!I:I,"PASS")</f>
        <v/>
      </c>
      <c r="D72">
        <f>COUNTIF('QuickImageGeneration'!I:I,"FAIL")</f>
        <v/>
      </c>
      <c r="E72">
        <f>COUNTIF('QuickImageGeneration'!I:I,"SKIP")</f>
        <v/>
      </c>
      <c r="F72">
        <f>B72-C72-D72-E72</f>
        <v/>
      </c>
    </row>
    <row r="73">
      <c r="A73" t="inlineStr">
        <is>
          <t>Quota</t>
        </is>
      </c>
      <c r="B73" t="n">
        <v>7</v>
      </c>
      <c r="C73">
        <f>COUNTIF('Quota'!I:I,"PASS")</f>
        <v/>
      </c>
      <c r="D73">
        <f>COUNTIF('Quota'!I:I,"FAIL")</f>
        <v/>
      </c>
      <c r="E73">
        <f>COUNTIF('Quota'!I:I,"SKIP")</f>
        <v/>
      </c>
      <c r="F73">
        <f>B73-C73-D73-E73</f>
        <v/>
      </c>
    </row>
    <row r="74">
      <c r="A74" t="inlineStr">
        <is>
          <t>Reports</t>
        </is>
      </c>
      <c r="B74" t="n">
        <v>7</v>
      </c>
      <c r="C74">
        <f>COUNTIF('Reports'!I:I,"PASS")</f>
        <v/>
      </c>
      <c r="D74">
        <f>COUNTIF('Reports'!I:I,"FAIL")</f>
        <v/>
      </c>
      <c r="E74">
        <f>COUNTIF('Reports'!I:I,"SKIP")</f>
        <v/>
      </c>
      <c r="F74">
        <f>B74-C74-D74-E74</f>
        <v/>
      </c>
    </row>
    <row r="75">
      <c r="A75" t="inlineStr">
        <is>
          <t>ResetPassword</t>
        </is>
      </c>
      <c r="B75" t="n">
        <v>4</v>
      </c>
      <c r="C75">
        <f>COUNTIF('ResetPassword'!I:I,"PASS")</f>
        <v/>
      </c>
      <c r="D75">
        <f>COUNTIF('ResetPassword'!I:I,"FAIL")</f>
        <v/>
      </c>
      <c r="E75">
        <f>COUNTIF('ResetPassword'!I:I,"SKIP")</f>
        <v/>
      </c>
      <c r="F75">
        <f>B75-C75-D75-E75</f>
        <v/>
      </c>
    </row>
    <row r="76">
      <c r="A76" t="inlineStr">
        <is>
          <t>Settings</t>
        </is>
      </c>
      <c r="B76" t="n">
        <v>7</v>
      </c>
      <c r="C76">
        <f>COUNTIF('Settings'!I:I,"PASS")</f>
        <v/>
      </c>
      <c r="D76">
        <f>COUNTIF('Settings'!I:I,"FAIL")</f>
        <v/>
      </c>
      <c r="E76">
        <f>COUNTIF('Settings'!I:I,"SKIP")</f>
        <v/>
      </c>
      <c r="F76">
        <f>B76-C76-D76-E76</f>
        <v/>
      </c>
    </row>
    <row r="77">
      <c r="A77" t="inlineStr">
        <is>
          <t>SystemHealth</t>
        </is>
      </c>
      <c r="B77" t="n">
        <v>7</v>
      </c>
      <c r="C77">
        <f>COUNTIF('SystemHealth'!I:I,"PASS")</f>
        <v/>
      </c>
      <c r="D77">
        <f>COUNTIF('SystemHealth'!I:I,"FAIL")</f>
        <v/>
      </c>
      <c r="E77">
        <f>COUNTIF('SystemHealth'!I:I,"SKIP")</f>
        <v/>
      </c>
      <c r="F77">
        <f>B77-C77-D77-E77</f>
        <v/>
      </c>
    </row>
    <row r="78">
      <c r="A78" t="inlineStr">
        <is>
          <t>Team</t>
        </is>
      </c>
      <c r="B78" t="n">
        <v>7</v>
      </c>
      <c r="C78">
        <f>COUNTIF('Team'!I:I,"PASS")</f>
        <v/>
      </c>
      <c r="D78">
        <f>COUNTIF('Team'!I:I,"FAIL")</f>
        <v/>
      </c>
      <c r="E78">
        <f>COUNTIF('Team'!I:I,"SKIP")</f>
        <v/>
      </c>
      <c r="F78">
        <f>B78-C78-D78-E78</f>
        <v/>
      </c>
    </row>
    <row r="79">
      <c r="A79" t="inlineStr">
        <is>
          <t>TermsOfService</t>
        </is>
      </c>
      <c r="B79" t="n">
        <v>4</v>
      </c>
      <c r="C79">
        <f>COUNTIF('TermsOfService'!I:I,"PASS")</f>
        <v/>
      </c>
      <c r="D79">
        <f>COUNTIF('TermsOfService'!I:I,"FAIL")</f>
        <v/>
      </c>
      <c r="E79">
        <f>COUNTIF('TermsOfService'!I:I,"SKIP")</f>
        <v/>
      </c>
      <c r="F79">
        <f>B79-C79-D79-E79</f>
        <v/>
      </c>
    </row>
    <row r="80">
      <c r="A80" t="inlineStr">
        <is>
          <t>ToolBuilder</t>
        </is>
      </c>
      <c r="B80" t="n">
        <v>7</v>
      </c>
      <c r="C80">
        <f>COUNTIF('ToolBuilder'!I:I,"PASS")</f>
        <v/>
      </c>
      <c r="D80">
        <f>COUNTIF('ToolBuilder'!I:I,"FAIL")</f>
        <v/>
      </c>
      <c r="E80">
        <f>COUNTIF('ToolBuilder'!I:I,"SKIP")</f>
        <v/>
      </c>
      <c r="F80">
        <f>B80-C80-D80-E80</f>
        <v/>
      </c>
    </row>
    <row r="81">
      <c r="A81" t="inlineStr">
        <is>
          <t>Tools</t>
        </is>
      </c>
      <c r="B81" t="n">
        <v>7</v>
      </c>
      <c r="C81">
        <f>COUNTIF('Tools'!I:I,"PASS")</f>
        <v/>
      </c>
      <c r="D81">
        <f>COUNTIF('Tools'!I:I,"FAIL")</f>
        <v/>
      </c>
      <c r="E81">
        <f>COUNTIF('Tools'!I:I,"SKIP")</f>
        <v/>
      </c>
      <c r="F81">
        <f>B81-C81-D81-E81</f>
        <v/>
      </c>
    </row>
    <row r="82">
      <c r="A82" t="inlineStr">
        <is>
          <t>UsageHistory</t>
        </is>
      </c>
      <c r="B82" t="n">
        <v>7</v>
      </c>
      <c r="C82">
        <f>COUNTIF('UsageHistory'!I:I,"PASS")</f>
        <v/>
      </c>
      <c r="D82">
        <f>COUNTIF('UsageHistory'!I:I,"FAIL")</f>
        <v/>
      </c>
      <c r="E82">
        <f>COUNTIF('UsageHistory'!I:I,"SKIP")</f>
        <v/>
      </c>
      <c r="F82">
        <f>B82-C82-D82-E82</f>
        <v/>
      </c>
    </row>
    <row r="83">
      <c r="A83" t="inlineStr">
        <is>
          <t>Users</t>
        </is>
      </c>
      <c r="B83" t="n">
        <v>7</v>
      </c>
      <c r="C83">
        <f>COUNTIF('Users'!I:I,"PASS")</f>
        <v/>
      </c>
      <c r="D83">
        <f>COUNTIF('Users'!I:I,"FAIL")</f>
        <v/>
      </c>
      <c r="E83">
        <f>COUNTIF('Users'!I:I,"SKIP")</f>
        <v/>
      </c>
      <c r="F83">
        <f>B83-C83-D83-E83</f>
        <v/>
      </c>
    </row>
    <row r="84">
      <c r="A84" t="inlineStr">
        <is>
          <t>WorkflowBuilder</t>
        </is>
      </c>
      <c r="B84" t="n">
        <v>7</v>
      </c>
      <c r="C84">
        <f>COUNTIF('WorkflowBuilder'!I:I,"PASS")</f>
        <v/>
      </c>
      <c r="D84">
        <f>COUNTIF('WorkflowBuilder'!I:I,"FAIL")</f>
        <v/>
      </c>
      <c r="E84">
        <f>COUNTIF('WorkflowBuilder'!I:I,"SKIP")</f>
        <v/>
      </c>
      <c r="F84">
        <f>B84-C84-D84-E84</f>
        <v/>
      </c>
    </row>
    <row r="85">
      <c r="A85" t="inlineStr">
        <is>
          <t>WorkflowExecutionMonitor</t>
        </is>
      </c>
      <c r="B85" t="n">
        <v>7</v>
      </c>
      <c r="C85">
        <f>COUNTIF('WorkflowExecutionMonitor'!I:I,"PASS")</f>
        <v/>
      </c>
      <c r="D85">
        <f>COUNTIF('WorkflowExecutionMonitor'!I:I,"FAIL")</f>
        <v/>
      </c>
      <c r="E85">
        <f>COUNTIF('WorkflowExecutionMonitor'!I:I,"SKIP")</f>
        <v/>
      </c>
      <c r="F85">
        <f>B85-C85-D85-E85</f>
        <v/>
      </c>
    </row>
    <row r="86">
      <c r="A86" t="inlineStr">
        <is>
          <t>Workflows</t>
        </is>
      </c>
      <c r="B86" t="n">
        <v>7</v>
      </c>
      <c r="C86">
        <f>COUNTIF('Workflows'!I:I,"PASS")</f>
        <v/>
      </c>
      <c r="D86">
        <f>COUNTIF('Workflows'!I:I,"FAIL")</f>
        <v/>
      </c>
      <c r="E86">
        <f>COUNTIF('Workflows'!I:I,"SKIP")</f>
        <v/>
      </c>
      <c r="F86">
        <f>B86-C86-D86-E86</f>
        <v/>
      </c>
    </row>
    <row r="87">
      <c r="A87" s="2" t="inlineStr">
        <is>
          <t>합계</t>
        </is>
      </c>
      <c r="B87">
        <f>SUM(B4:B86)</f>
        <v/>
      </c>
      <c r="C87">
        <f>SUM(C4:C86)</f>
        <v/>
      </c>
      <c r="D87">
        <f>SUM(D4:D86)</f>
        <v/>
      </c>
      <c r="E87">
        <f>SUM(E4:E86)</f>
        <v/>
      </c>
      <c r="F87">
        <f>SUM(F4:F86)</f>
        <v/>
      </c>
    </row>
    <row r="90">
      <c r="A90" s="6" t="inlineStr">
        <is>
          <t>위험도 분포</t>
        </is>
      </c>
    </row>
    <row r="91">
      <c r="A91" t="inlineStr">
        <is>
          <t>cost</t>
        </is>
      </c>
      <c r="B91" t="n">
        <v>1</v>
      </c>
    </row>
    <row r="92">
      <c r="A92" t="inlineStr">
        <is>
          <t>mutation</t>
        </is>
      </c>
      <c r="B92" t="n">
        <v>1</v>
      </c>
    </row>
    <row r="93">
      <c r="A93" t="inlineStr">
        <is>
          <t>safe</t>
        </is>
      </c>
      <c r="B93" t="n">
        <v>477</v>
      </c>
    </row>
    <row r="96">
      <c r="A96" s="6" t="inlineStr">
        <is>
          <t>자동화 분포</t>
        </is>
      </c>
    </row>
    <row r="97">
      <c r="A97" t="inlineStr">
        <is>
          <t>auto</t>
        </is>
      </c>
      <c r="B97" t="n">
        <v>453</v>
      </c>
    </row>
    <row r="98">
      <c r="A98" t="inlineStr">
        <is>
          <t>manual</t>
        </is>
      </c>
      <c r="B98" t="n">
        <v>4</v>
      </c>
    </row>
    <row r="99">
      <c r="A99" t="inlineStr">
        <is>
          <t>skip</t>
        </is>
      </c>
      <c r="B9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AH-SP-130</t>
        </is>
      </c>
      <c r="B2" s="8" t="inlineStr">
        <is>
          <t>전역 — DocUtil 502 fallback</t>
        </is>
      </c>
      <c r="C2" s="8" t="inlineStr">
        <is>
          <t>[시나리오 3 인용] AdminDocUtil* 13개 화면에서 DocUtil 502 시 한국어 에러 fallback</t>
        </is>
      </c>
      <c r="D2" s="8" t="inlineStr">
        <is>
          <t>트랙 #75 commit b7de919 참조</t>
        </is>
      </c>
      <c r="E2" s="8" t="inlineStr">
        <is>
          <t>(자동화 완료 — 재실행 안 함)</t>
        </is>
      </c>
      <c r="F2" s="8" t="inlineStr">
        <is>
          <t>PASS (시나리오 3 결과 인용)</t>
        </is>
      </c>
      <c r="G2" s="8" t="inlineStr">
        <is>
          <t>safe</t>
        </is>
      </c>
      <c r="H2" s="8" t="inlineStr">
        <is>
          <t>manual</t>
        </is>
      </c>
      <c r="I2" s="8" t="inlineStr">
        <is>
          <t>PASS</t>
        </is>
      </c>
      <c r="J2" s="8" t="inlineStr"/>
      <c r="K2" s="8" t="inlineStr">
        <is>
          <t>[시나리오 3 인용] tools/ui_e2e/scenario_3_result.json (b7de919)</t>
        </is>
      </c>
      <c r="L2" s="8" t="inlineStr">
        <is>
          <t>2026-05-12 (인용)</t>
        </is>
      </c>
      <c r="M2" s="8" t="inlineStr"/>
    </row>
    <row r="3" ht="36" customHeight="1">
      <c r="A3" s="8" t="inlineStr">
        <is>
          <t>AH-SP-131</t>
        </is>
      </c>
      <c r="B3" s="8" t="inlineStr">
        <is>
          <t>전역 — DocUtil 로그인 확인</t>
        </is>
      </c>
      <c r="C3" s="8" t="inlineStr">
        <is>
          <t>[시나리오 4 인용] DocUtil 자격증명 미확보 확인</t>
        </is>
      </c>
      <c r="D3" s="8" t="inlineStr">
        <is>
          <t>트랙 #75 commit 3542e33 참조</t>
        </is>
      </c>
      <c r="E3" s="8" t="inlineStr">
        <is>
          <t>(자동화 완료 — 재실행 안 함)</t>
        </is>
      </c>
      <c r="F3" s="8" t="inlineStr">
        <is>
          <t>SKIP (시나리오 4 결과 인용 — DocUtil 자격증명 제공 시 진행)</t>
        </is>
      </c>
      <c r="G3" s="8" t="inlineStr">
        <is>
          <t>safe</t>
        </is>
      </c>
      <c r="H3" s="8" t="inlineStr">
        <is>
          <t>manual</t>
        </is>
      </c>
      <c r="I3" s="8" t="inlineStr">
        <is>
          <t>SKIP</t>
        </is>
      </c>
      <c r="J3" s="8" t="inlineStr"/>
      <c r="K3" s="8" t="inlineStr">
        <is>
          <t>[시나리오 4 인용] tools/ui_e2e/scenario_4_result.json (3542e33)</t>
        </is>
      </c>
      <c r="L3" s="8" t="inlineStr">
        <is>
          <t>2026-05-12 (인용)</t>
        </is>
      </c>
      <c r="M3" s="8" t="inlineStr"/>
    </row>
  </sheetData>
  <conditionalFormatting sqref="I2:I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AH-038-01</t>
        </is>
      </c>
      <c r="B2" s="8" t="inlineStr">
        <is>
          <t>AdminDocUtilApiKeys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/admin/docutil-api-keys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duration=1785ms | final=http://192.168.10.39:64005/admin/docutil-api-keys</t>
        </is>
      </c>
      <c r="K2" s="8" t="inlineStr"/>
      <c r="L2" s="8" t="inlineStr">
        <is>
          <t>2026-05-12 15:33:17</t>
        </is>
      </c>
      <c r="M2" s="8" t="inlineStr">
        <is>
          <t>tools/ui_e2e/screenshots/full/AH_PROT_AdminDocUtilApiKeys.png</t>
        </is>
      </c>
    </row>
    <row r="3" ht="36" customHeight="1">
      <c r="A3" s="8" t="inlineStr">
        <is>
          <t>AH-038-02</t>
        </is>
      </c>
      <c r="B3" s="8" t="inlineStr">
        <is>
          <t>AdminDocUtilApiKeys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/admin/docutil-api-keys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final=http://192.168.10.39:64005/login?redirect=/admin/docutil-api-keys</t>
        </is>
      </c>
      <c r="K3" s="8" t="inlineStr">
        <is>
          <t>final=http://192.168.10.39:64005/login?redirect=/admin/docutil-api-keys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AH-038-03</t>
        </is>
      </c>
      <c r="B4" s="8" t="inlineStr">
        <is>
          <t>AdminDocUtilApiKeys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15:33:17</t>
        </is>
      </c>
      <c r="M4" s="8" t="inlineStr"/>
    </row>
    <row r="5" ht="36" customHeight="1">
      <c r="A5" s="8" t="inlineStr">
        <is>
          <t>AH-038-04</t>
        </is>
      </c>
      <c r="B5" s="8" t="inlineStr">
        <is>
          <t>AdminDocUtilApiKeys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15:33:17</t>
        </is>
      </c>
      <c r="M5" s="8" t="inlineStr"/>
    </row>
    <row r="6" ht="36" customHeight="1">
      <c r="A6" s="8" t="inlineStr">
        <is>
          <t>AH-038-05</t>
        </is>
      </c>
      <c r="B6" s="8" t="inlineStr">
        <is>
          <t>AdminDocUtilApiKeys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15:33:17</t>
        </is>
      </c>
      <c r="M6" s="8" t="inlineStr"/>
    </row>
    <row r="7" ht="36" customHeight="1">
      <c r="A7" s="8" t="inlineStr">
        <is>
          <t>AH-038-06</t>
        </is>
      </c>
      <c r="B7" s="8" t="inlineStr">
        <is>
          <t>AdminDocUtilApiKeys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15:33:17</t>
        </is>
      </c>
      <c r="M7" s="8" t="inlineStr">
        <is>
          <t>tools/ui_e2e/screenshots/full/AH_PROT_AdminDocUtilApiKeys.png</t>
        </is>
      </c>
    </row>
    <row r="8" ht="36" customHeight="1">
      <c r="A8" s="8" t="inlineStr">
        <is>
          <t>AH-SP-050-docutil-api-keys</t>
        </is>
      </c>
      <c r="B8" s="8" t="inlineStr">
        <is>
          <t>DocUtil API 키</t>
        </is>
      </c>
      <c r="C8" s="8" t="inlineStr">
        <is>
          <t>BFF 데이터 로드 (DocUtil → AgentHub BFF)</t>
        </is>
      </c>
      <c r="D8" s="8" t="inlineStr">
        <is>
          <t>(admin 로그인)</t>
        </is>
      </c>
      <c r="E8" s="8" t="inlineStr">
        <is>
          <t>/admin/docutil-api-keys 진입</t>
        </is>
      </c>
      <c r="F8" s="8" t="inlineStr">
        <is>
          <t>DocUtil API 응답 또는 5xx 시 한국어 에러 토스트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AdminDocUtilApiKeys: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AH-032-01</t>
        </is>
      </c>
      <c r="B2" s="8" t="inlineStr">
        <is>
          <t>AdminDocUtilAudit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/admin/docutil-audit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duration=1796ms | final=http://192.168.10.39:64005/admin/docutil-audit</t>
        </is>
      </c>
      <c r="K2" s="8" t="inlineStr"/>
      <c r="L2" s="8" t="inlineStr">
        <is>
          <t>2026-05-12 15:33:06</t>
        </is>
      </c>
      <c r="M2" s="8" t="inlineStr">
        <is>
          <t>tools/ui_e2e/screenshots/full/AH_PROT_AdminDocUtilAudit.png</t>
        </is>
      </c>
    </row>
    <row r="3" ht="36" customHeight="1">
      <c r="A3" s="8" t="inlineStr">
        <is>
          <t>AH-032-02</t>
        </is>
      </c>
      <c r="B3" s="8" t="inlineStr">
        <is>
          <t>AdminDocUtilAudit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/admin/docutil-audit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final=http://192.168.10.39:64005/login?redirect=/admin/docutil-audit</t>
        </is>
      </c>
      <c r="K3" s="8" t="inlineStr">
        <is>
          <t>final=http://192.168.10.39:64005/login?redirect=/admin/docutil-audit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AH-032-03</t>
        </is>
      </c>
      <c r="B4" s="8" t="inlineStr">
        <is>
          <t>AdminDocUtilAudit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15:33:06</t>
        </is>
      </c>
      <c r="M4" s="8" t="inlineStr"/>
    </row>
    <row r="5" ht="36" customHeight="1">
      <c r="A5" s="8" t="inlineStr">
        <is>
          <t>AH-032-04</t>
        </is>
      </c>
      <c r="B5" s="8" t="inlineStr">
        <is>
          <t>AdminDocUtilAudit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15:33:06</t>
        </is>
      </c>
      <c r="M5" s="8" t="inlineStr"/>
    </row>
    <row r="6" ht="36" customHeight="1">
      <c r="A6" s="8" t="inlineStr">
        <is>
          <t>AH-032-05</t>
        </is>
      </c>
      <c r="B6" s="8" t="inlineStr">
        <is>
          <t>AdminDocUtilAudit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15:33:06</t>
        </is>
      </c>
      <c r="M6" s="8" t="inlineStr"/>
    </row>
    <row r="7" ht="36" customHeight="1">
      <c r="A7" s="8" t="inlineStr">
        <is>
          <t>AH-032-06</t>
        </is>
      </c>
      <c r="B7" s="8" t="inlineStr">
        <is>
          <t>AdminDocUtilAudit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15:33:06</t>
        </is>
      </c>
      <c r="M7" s="8" t="inlineStr">
        <is>
          <t>tools/ui_e2e/screenshots/full/AH_PROT_AdminDocUtilAudit.png</t>
        </is>
      </c>
    </row>
    <row r="8" ht="36" customHeight="1">
      <c r="A8" s="8" t="inlineStr">
        <is>
          <t>AH-SP-050-docutil-audit</t>
        </is>
      </c>
      <c r="B8" s="8" t="inlineStr">
        <is>
          <t>DocUtil 감사</t>
        </is>
      </c>
      <c r="C8" s="8" t="inlineStr">
        <is>
          <t>BFF 데이터 로드 (DocUtil → AgentHub BFF)</t>
        </is>
      </c>
      <c r="D8" s="8" t="inlineStr">
        <is>
          <t>(admin 로그인)</t>
        </is>
      </c>
      <c r="E8" s="8" t="inlineStr">
        <is>
          <t>/admin/docutil-audit 진입</t>
        </is>
      </c>
      <c r="F8" s="8" t="inlineStr">
        <is>
          <t>DocUtil API 응답 또는 5xx 시 한국어 에러 토스트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AdminDocUtilAudit: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AH-031-01</t>
        </is>
      </c>
      <c r="B2" s="8" t="inlineStr">
        <is>
          <t>AdminDocUtilDashboard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/admin/docutil-dashboard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duration=1786ms | final=http://192.168.10.39:64005/admin/docutil-dashboard</t>
        </is>
      </c>
      <c r="K2" s="8" t="inlineStr"/>
      <c r="L2" s="8" t="inlineStr">
        <is>
          <t>2026-05-12 15:33:04</t>
        </is>
      </c>
      <c r="M2" s="8" t="inlineStr">
        <is>
          <t>tools/ui_e2e/screenshots/full/AH_PROT_AdminDocUtilDashboard.png</t>
        </is>
      </c>
    </row>
    <row r="3" ht="36" customHeight="1">
      <c r="A3" s="8" t="inlineStr">
        <is>
          <t>AH-031-02</t>
        </is>
      </c>
      <c r="B3" s="8" t="inlineStr">
        <is>
          <t>AdminDocUtilDashboard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/admin/docutil-dashboard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final=http://192.168.10.39:64005/login?redirect=/admin/docutil-dashboard</t>
        </is>
      </c>
      <c r="K3" s="8" t="inlineStr">
        <is>
          <t>final=http://192.168.10.39:64005/login?redirect=/admin/docutil-dashboard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AH-031-03</t>
        </is>
      </c>
      <c r="B4" s="8" t="inlineStr">
        <is>
          <t>AdminDocUtilDashboard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15:33:04</t>
        </is>
      </c>
      <c r="M4" s="8" t="inlineStr"/>
    </row>
    <row r="5" ht="36" customHeight="1">
      <c r="A5" s="8" t="inlineStr">
        <is>
          <t>AH-031-04</t>
        </is>
      </c>
      <c r="B5" s="8" t="inlineStr">
        <is>
          <t>AdminDocUtilDashboard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15:33:04</t>
        </is>
      </c>
      <c r="M5" s="8" t="inlineStr"/>
    </row>
    <row r="6" ht="36" customHeight="1">
      <c r="A6" s="8" t="inlineStr">
        <is>
          <t>AH-031-05</t>
        </is>
      </c>
      <c r="B6" s="8" t="inlineStr">
        <is>
          <t>AdminDocUtilDashboard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15:33:04</t>
        </is>
      </c>
      <c r="M6" s="8" t="inlineStr"/>
    </row>
    <row r="7" ht="36" customHeight="1">
      <c r="A7" s="8" t="inlineStr">
        <is>
          <t>AH-031-06</t>
        </is>
      </c>
      <c r="B7" s="8" t="inlineStr">
        <is>
          <t>AdminDocUtilDashboard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15:33:04</t>
        </is>
      </c>
      <c r="M7" s="8" t="inlineStr">
        <is>
          <t>tools/ui_e2e/screenshots/full/AH_PROT_AdminDocUtilDashboard.png</t>
        </is>
      </c>
    </row>
    <row r="8" ht="36" customHeight="1">
      <c r="A8" s="8" t="inlineStr">
        <is>
          <t>AH-SP-050-docutil-dashboard</t>
        </is>
      </c>
      <c r="B8" s="8" t="inlineStr">
        <is>
          <t>DocUtil 대시보드</t>
        </is>
      </c>
      <c r="C8" s="8" t="inlineStr">
        <is>
          <t>BFF 데이터 로드 (DocUtil → AgentHub BFF)</t>
        </is>
      </c>
      <c r="D8" s="8" t="inlineStr">
        <is>
          <t>(admin 로그인)</t>
        </is>
      </c>
      <c r="E8" s="8" t="inlineStr">
        <is>
          <t>/admin/docutil-dashboard 진입</t>
        </is>
      </c>
      <c r="F8" s="8" t="inlineStr">
        <is>
          <t>DocUtil API 응답 또는 5xx 시 한국어 에러 토스트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AdminDocUtilDashboard: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AH-029-01</t>
        </is>
      </c>
      <c r="B2" s="8" t="inlineStr">
        <is>
          <t>AdminDocUtilDepartments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/admin/docutil-departments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duration=1780ms | final=http://192.168.10.39:64005/admin/docutil-departments</t>
        </is>
      </c>
      <c r="K2" s="8" t="inlineStr"/>
      <c r="L2" s="8" t="inlineStr">
        <is>
          <t>2026-05-12 15:33:01</t>
        </is>
      </c>
      <c r="M2" s="8" t="inlineStr">
        <is>
          <t>tools/ui_e2e/screenshots/full/AH_PROT_AdminDocUtilDepartments.png</t>
        </is>
      </c>
    </row>
    <row r="3" ht="36" customHeight="1">
      <c r="A3" s="8" t="inlineStr">
        <is>
          <t>AH-029-02</t>
        </is>
      </c>
      <c r="B3" s="8" t="inlineStr">
        <is>
          <t>AdminDocUtilDepartments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/admin/docutil-departments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final=http://192.168.10.39:64005/login?redirect=/admin/docutil-departments</t>
        </is>
      </c>
      <c r="K3" s="8" t="inlineStr">
        <is>
          <t>final=http://192.168.10.39:64005/login?redirect=/admin/docutil-departments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AH-029-03</t>
        </is>
      </c>
      <c r="B4" s="8" t="inlineStr">
        <is>
          <t>AdminDocUtilDepartments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15:33:01</t>
        </is>
      </c>
      <c r="M4" s="8" t="inlineStr"/>
    </row>
    <row r="5" ht="36" customHeight="1">
      <c r="A5" s="8" t="inlineStr">
        <is>
          <t>AH-029-04</t>
        </is>
      </c>
      <c r="B5" s="8" t="inlineStr">
        <is>
          <t>AdminDocUtilDepartments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15:33:01</t>
        </is>
      </c>
      <c r="M5" s="8" t="inlineStr"/>
    </row>
    <row r="6" ht="36" customHeight="1">
      <c r="A6" s="8" t="inlineStr">
        <is>
          <t>AH-029-05</t>
        </is>
      </c>
      <c r="B6" s="8" t="inlineStr">
        <is>
          <t>AdminDocUtilDepartments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15:33:01</t>
        </is>
      </c>
      <c r="M6" s="8" t="inlineStr"/>
    </row>
    <row r="7" ht="36" customHeight="1">
      <c r="A7" s="8" t="inlineStr">
        <is>
          <t>AH-029-06</t>
        </is>
      </c>
      <c r="B7" s="8" t="inlineStr">
        <is>
          <t>AdminDocUtilDepartments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15:33:01</t>
        </is>
      </c>
      <c r="M7" s="8" t="inlineStr">
        <is>
          <t>tools/ui_e2e/screenshots/full/AH_PROT_AdminDocUtilDepartments.png</t>
        </is>
      </c>
    </row>
    <row r="8" ht="36" customHeight="1">
      <c r="A8" s="8" t="inlineStr">
        <is>
          <t>AH-SP-050-docutil-departments</t>
        </is>
      </c>
      <c r="B8" s="8" t="inlineStr">
        <is>
          <t>DocUtil 부서</t>
        </is>
      </c>
      <c r="C8" s="8" t="inlineStr">
        <is>
          <t>BFF 데이터 로드 (DocUtil → AgentHub BFF)</t>
        </is>
      </c>
      <c r="D8" s="8" t="inlineStr">
        <is>
          <t>(admin 로그인)</t>
        </is>
      </c>
      <c r="E8" s="8" t="inlineStr">
        <is>
          <t>/admin/docutil-departments 진입</t>
        </is>
      </c>
      <c r="F8" s="8" t="inlineStr">
        <is>
          <t>DocUtil API 응답 또는 5xx 시 한국어 에러 토스트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AdminDocUtilDepartments: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AH-039-01</t>
        </is>
      </c>
      <c r="B2" s="8" t="inlineStr">
        <is>
          <t>AdminDocUtilDocAgents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/admin/docutil-doc-agents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duration=1796ms | final=http://192.168.10.39:64005/admin/docutil-doc-agents</t>
        </is>
      </c>
      <c r="K2" s="8" t="inlineStr"/>
      <c r="L2" s="8" t="inlineStr">
        <is>
          <t>2026-05-12 15:33:19</t>
        </is>
      </c>
      <c r="M2" s="8" t="inlineStr">
        <is>
          <t>tools/ui_e2e/screenshots/full/AH_PROT_AdminDocUtilDocAgents.png</t>
        </is>
      </c>
    </row>
    <row r="3" ht="36" customHeight="1">
      <c r="A3" s="8" t="inlineStr">
        <is>
          <t>AH-039-02</t>
        </is>
      </c>
      <c r="B3" s="8" t="inlineStr">
        <is>
          <t>AdminDocUtilDocAgents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/admin/docutil-doc-agents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final=http://192.168.10.39:64005/login?redirect=/admin/docutil-doc-agents</t>
        </is>
      </c>
      <c r="K3" s="8" t="inlineStr">
        <is>
          <t>final=http://192.168.10.39:64005/login?redirect=/admin/docutil-doc-agents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AH-039-03</t>
        </is>
      </c>
      <c r="B4" s="8" t="inlineStr">
        <is>
          <t>AdminDocUtilDocAgents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15:33:19</t>
        </is>
      </c>
      <c r="M4" s="8" t="inlineStr"/>
    </row>
    <row r="5" ht="36" customHeight="1">
      <c r="A5" s="8" t="inlineStr">
        <is>
          <t>AH-039-04</t>
        </is>
      </c>
      <c r="B5" s="8" t="inlineStr">
        <is>
          <t>AdminDocUtilDocAgents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15:33:19</t>
        </is>
      </c>
      <c r="M5" s="8" t="inlineStr"/>
    </row>
    <row r="6" ht="36" customHeight="1">
      <c r="A6" s="8" t="inlineStr">
        <is>
          <t>AH-039-05</t>
        </is>
      </c>
      <c r="B6" s="8" t="inlineStr">
        <is>
          <t>AdminDocUtilDocAgents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15:33:19</t>
        </is>
      </c>
      <c r="M6" s="8" t="inlineStr"/>
    </row>
    <row r="7" ht="36" customHeight="1">
      <c r="A7" s="8" t="inlineStr">
        <is>
          <t>AH-039-06</t>
        </is>
      </c>
      <c r="B7" s="8" t="inlineStr">
        <is>
          <t>AdminDocUtilDocAgents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15:33:19</t>
        </is>
      </c>
      <c r="M7" s="8" t="inlineStr">
        <is>
          <t>tools/ui_e2e/screenshots/full/AH_PROT_AdminDocUtilDocAgents.png</t>
        </is>
      </c>
    </row>
    <row r="8" ht="36" customHeight="1">
      <c r="A8" s="8" t="inlineStr">
        <is>
          <t>AH-SP-050-docutil-doc-agents</t>
        </is>
      </c>
      <c r="B8" s="8" t="inlineStr">
        <is>
          <t>DocUtil 에이전트</t>
        </is>
      </c>
      <c r="C8" s="8" t="inlineStr">
        <is>
          <t>BFF 데이터 로드 (DocUtil → AgentHub BFF)</t>
        </is>
      </c>
      <c r="D8" s="8" t="inlineStr">
        <is>
          <t>(admin 로그인)</t>
        </is>
      </c>
      <c r="E8" s="8" t="inlineStr">
        <is>
          <t>/admin/docutil-doc-agents 진입</t>
        </is>
      </c>
      <c r="F8" s="8" t="inlineStr">
        <is>
          <t>DocUtil API 응답 또는 5xx 시 한국어 에러 토스트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AdminDocUtilDocAgents: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AH-040-01</t>
        </is>
      </c>
      <c r="B2" s="8" t="inlineStr">
        <is>
          <t>AdminDocUtilDocumentsV2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/admin/docutil-documents-v2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duration=1799ms | final=http://192.168.10.39:64005/admin/docutil-documents-v2</t>
        </is>
      </c>
      <c r="K2" s="8" t="inlineStr"/>
      <c r="L2" s="8" t="inlineStr">
        <is>
          <t>2026-05-12 15:33:21</t>
        </is>
      </c>
      <c r="M2" s="8" t="inlineStr">
        <is>
          <t>tools/ui_e2e/screenshots/full/AH_PROT_AdminDocUtilDocumentsV2.png</t>
        </is>
      </c>
    </row>
    <row r="3" ht="36" customHeight="1">
      <c r="A3" s="8" t="inlineStr">
        <is>
          <t>AH-040-02</t>
        </is>
      </c>
      <c r="B3" s="8" t="inlineStr">
        <is>
          <t>AdminDocUtilDocumentsV2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/admin/docutil-documents-v2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final=http://192.168.10.39:64005/login?redirect=/admin/docutil-documents-v2</t>
        </is>
      </c>
      <c r="K3" s="8" t="inlineStr">
        <is>
          <t>final=http://192.168.10.39:64005/login?redirect=/admin/docutil-documents-v2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AH-040-03</t>
        </is>
      </c>
      <c r="B4" s="8" t="inlineStr">
        <is>
          <t>AdminDocUtilDocumentsV2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15:33:21</t>
        </is>
      </c>
      <c r="M4" s="8" t="inlineStr"/>
    </row>
    <row r="5" ht="36" customHeight="1">
      <c r="A5" s="8" t="inlineStr">
        <is>
          <t>AH-040-04</t>
        </is>
      </c>
      <c r="B5" s="8" t="inlineStr">
        <is>
          <t>AdminDocUtilDocumentsV2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15:33:21</t>
        </is>
      </c>
      <c r="M5" s="8" t="inlineStr"/>
    </row>
    <row r="6" ht="36" customHeight="1">
      <c r="A6" s="8" t="inlineStr">
        <is>
          <t>AH-040-05</t>
        </is>
      </c>
      <c r="B6" s="8" t="inlineStr">
        <is>
          <t>AdminDocUtilDocumentsV2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15:33:21</t>
        </is>
      </c>
      <c r="M6" s="8" t="inlineStr"/>
    </row>
    <row r="7" ht="36" customHeight="1">
      <c r="A7" s="8" t="inlineStr">
        <is>
          <t>AH-040-06</t>
        </is>
      </c>
      <c r="B7" s="8" t="inlineStr">
        <is>
          <t>AdminDocUtilDocumentsV2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15:33:21</t>
        </is>
      </c>
      <c r="M7" s="8" t="inlineStr">
        <is>
          <t>tools/ui_e2e/screenshots/full/AH_PROT_AdminDocUtilDocumentsV2.png</t>
        </is>
      </c>
    </row>
    <row r="8" ht="36" customHeight="1">
      <c r="A8" s="8" t="inlineStr">
        <is>
          <t>AH-SP-050-docutil-documents-v2</t>
        </is>
      </c>
      <c r="B8" s="8" t="inlineStr">
        <is>
          <t>DocUtil 문서 V2</t>
        </is>
      </c>
      <c r="C8" s="8" t="inlineStr">
        <is>
          <t>BFF 데이터 로드 (DocUtil → AgentHub BFF)</t>
        </is>
      </c>
      <c r="D8" s="8" t="inlineStr">
        <is>
          <t>(admin 로그인)</t>
        </is>
      </c>
      <c r="E8" s="8" t="inlineStr">
        <is>
          <t>/admin/docutil-documents-v2 진입</t>
        </is>
      </c>
      <c r="F8" s="8" t="inlineStr">
        <is>
          <t>DocUtil API 응답 또는 5xx 시 한국어 에러 토스트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AdminDocUtilDocumentsV2: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AH-034-01</t>
        </is>
      </c>
      <c r="B2" s="8" t="inlineStr">
        <is>
          <t>AdminDocUtilEvaluation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/admin/docutil-evaluation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duration=1795ms | final=http://192.168.10.39:64005/admin/docutil-evaluation</t>
        </is>
      </c>
      <c r="K2" s="8" t="inlineStr"/>
      <c r="L2" s="8" t="inlineStr">
        <is>
          <t>2026-05-12 15:33:10</t>
        </is>
      </c>
      <c r="M2" s="8" t="inlineStr">
        <is>
          <t>tools/ui_e2e/screenshots/full/AH_PROT_AdminDocUtilEvaluation.png</t>
        </is>
      </c>
    </row>
    <row r="3" ht="36" customHeight="1">
      <c r="A3" s="8" t="inlineStr">
        <is>
          <t>AH-034-02</t>
        </is>
      </c>
      <c r="B3" s="8" t="inlineStr">
        <is>
          <t>AdminDocUtilEvaluation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/admin/docutil-evaluation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final=http://192.168.10.39:64005/login?redirect=/admin/docutil-evaluation</t>
        </is>
      </c>
      <c r="K3" s="8" t="inlineStr">
        <is>
          <t>final=http://192.168.10.39:64005/login?redirect=/admin/docutil-evaluation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AH-034-03</t>
        </is>
      </c>
      <c r="B4" s="8" t="inlineStr">
        <is>
          <t>AdminDocUtilEvaluation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15:33:10</t>
        </is>
      </c>
      <c r="M4" s="8" t="inlineStr"/>
    </row>
    <row r="5" ht="36" customHeight="1">
      <c r="A5" s="8" t="inlineStr">
        <is>
          <t>AH-034-04</t>
        </is>
      </c>
      <c r="B5" s="8" t="inlineStr">
        <is>
          <t>AdminDocUtilEvaluation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15:33:10</t>
        </is>
      </c>
      <c r="M5" s="8" t="inlineStr"/>
    </row>
    <row r="6" ht="36" customHeight="1">
      <c r="A6" s="8" t="inlineStr">
        <is>
          <t>AH-034-05</t>
        </is>
      </c>
      <c r="B6" s="8" t="inlineStr">
        <is>
          <t>AdminDocUtilEvaluation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15:33:10</t>
        </is>
      </c>
      <c r="M6" s="8" t="inlineStr"/>
    </row>
    <row r="7" ht="36" customHeight="1">
      <c r="A7" s="8" t="inlineStr">
        <is>
          <t>AH-034-06</t>
        </is>
      </c>
      <c r="B7" s="8" t="inlineStr">
        <is>
          <t>AdminDocUtilEvaluation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15:33:10</t>
        </is>
      </c>
      <c r="M7" s="8" t="inlineStr">
        <is>
          <t>tools/ui_e2e/screenshots/full/AH_PROT_AdminDocUtilEvaluation.png</t>
        </is>
      </c>
    </row>
    <row r="8" ht="36" customHeight="1">
      <c r="A8" s="8" t="inlineStr">
        <is>
          <t>AH-SP-050-docutil-evaluation</t>
        </is>
      </c>
      <c r="B8" s="8" t="inlineStr">
        <is>
          <t>DocUtil 평가</t>
        </is>
      </c>
      <c r="C8" s="8" t="inlineStr">
        <is>
          <t>BFF 데이터 로드 (DocUtil → AgentHub BFF)</t>
        </is>
      </c>
      <c r="D8" s="8" t="inlineStr">
        <is>
          <t>(admin 로그인)</t>
        </is>
      </c>
      <c r="E8" s="8" t="inlineStr">
        <is>
          <t>/admin/docutil-evaluation 진입</t>
        </is>
      </c>
      <c r="F8" s="8" t="inlineStr">
        <is>
          <t>DocUtil API 응답 또는 5xx 시 한국어 에러 토스트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AdminDocUtilEvaluation: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AH-035-01</t>
        </is>
      </c>
      <c r="B2" s="8" t="inlineStr">
        <is>
          <t>AdminDocUtilFaq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/admin/docutil-faq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duration=1780ms | final=http://192.168.10.39:64005/admin/docutil-faq</t>
        </is>
      </c>
      <c r="K2" s="8" t="inlineStr"/>
      <c r="L2" s="8" t="inlineStr">
        <is>
          <t>2026-05-12 15:33:12</t>
        </is>
      </c>
      <c r="M2" s="8" t="inlineStr">
        <is>
          <t>tools/ui_e2e/screenshots/full/AH_PROT_AdminDocUtilFaq.png</t>
        </is>
      </c>
    </row>
    <row r="3" ht="36" customHeight="1">
      <c r="A3" s="8" t="inlineStr">
        <is>
          <t>AH-035-02</t>
        </is>
      </c>
      <c r="B3" s="8" t="inlineStr">
        <is>
          <t>AdminDocUtilFaq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/admin/docutil-faq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final=http://192.168.10.39:64005/login?redirect=/admin/docutil-faq</t>
        </is>
      </c>
      <c r="K3" s="8" t="inlineStr">
        <is>
          <t>final=http://192.168.10.39:64005/login?redirect=/admin/docutil-faq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AH-035-03</t>
        </is>
      </c>
      <c r="B4" s="8" t="inlineStr">
        <is>
          <t>AdminDocUtilFaq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15:33:12</t>
        </is>
      </c>
      <c r="M4" s="8" t="inlineStr"/>
    </row>
    <row r="5" ht="36" customHeight="1">
      <c r="A5" s="8" t="inlineStr">
        <is>
          <t>AH-035-04</t>
        </is>
      </c>
      <c r="B5" s="8" t="inlineStr">
        <is>
          <t>AdminDocUtilFaq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15:33:12</t>
        </is>
      </c>
      <c r="M5" s="8" t="inlineStr"/>
    </row>
    <row r="6" ht="36" customHeight="1">
      <c r="A6" s="8" t="inlineStr">
        <is>
          <t>AH-035-05</t>
        </is>
      </c>
      <c r="B6" s="8" t="inlineStr">
        <is>
          <t>AdminDocUtilFaq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15:33:12</t>
        </is>
      </c>
      <c r="M6" s="8" t="inlineStr"/>
    </row>
    <row r="7" ht="36" customHeight="1">
      <c r="A7" s="8" t="inlineStr">
        <is>
          <t>AH-035-06</t>
        </is>
      </c>
      <c r="B7" s="8" t="inlineStr">
        <is>
          <t>AdminDocUtilFaq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15:33:12</t>
        </is>
      </c>
      <c r="M7" s="8" t="inlineStr">
        <is>
          <t>tools/ui_e2e/screenshots/full/AH_PROT_AdminDocUtilFaq.png</t>
        </is>
      </c>
    </row>
    <row r="8" ht="36" customHeight="1">
      <c r="A8" s="8" t="inlineStr">
        <is>
          <t>AH-SP-050-docutil-faq</t>
        </is>
      </c>
      <c r="B8" s="8" t="inlineStr">
        <is>
          <t>DocUtil FAQ</t>
        </is>
      </c>
      <c r="C8" s="8" t="inlineStr">
        <is>
          <t>BFF 데이터 로드 (DocUtil → AgentHub BFF)</t>
        </is>
      </c>
      <c r="D8" s="8" t="inlineStr">
        <is>
          <t>(admin 로그인)</t>
        </is>
      </c>
      <c r="E8" s="8" t="inlineStr">
        <is>
          <t>/admin/docutil-faq 진입</t>
        </is>
      </c>
      <c r="F8" s="8" t="inlineStr">
        <is>
          <t>DocUtil API 응답 또는 5xx 시 한국어 에러 토스트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AdminDocUtilFaq: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AH-030-01</t>
        </is>
      </c>
      <c r="B2" s="8" t="inlineStr">
        <is>
          <t>AdminDocUtilProjects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/admin/docutil-projects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duration=1779ms | final=http://192.168.10.39:64005/admin/docutil-projects</t>
        </is>
      </c>
      <c r="K2" s="8" t="inlineStr"/>
      <c r="L2" s="8" t="inlineStr">
        <is>
          <t>2026-05-12 15:33:03</t>
        </is>
      </c>
      <c r="M2" s="8" t="inlineStr">
        <is>
          <t>tools/ui_e2e/screenshots/full/AH_PROT_AdminDocUtilProjects.png</t>
        </is>
      </c>
    </row>
    <row r="3" ht="36" customHeight="1">
      <c r="A3" s="8" t="inlineStr">
        <is>
          <t>AH-030-02</t>
        </is>
      </c>
      <c r="B3" s="8" t="inlineStr">
        <is>
          <t>AdminDocUtilProjects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/admin/docutil-projects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final=http://192.168.10.39:64005/login?redirect=/admin/docutil-projects</t>
        </is>
      </c>
      <c r="K3" s="8" t="inlineStr">
        <is>
          <t>final=http://192.168.10.39:64005/login?redirect=/admin/docutil-projects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AH-030-03</t>
        </is>
      </c>
      <c r="B4" s="8" t="inlineStr">
        <is>
          <t>AdminDocUtilProjects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15:33:03</t>
        </is>
      </c>
      <c r="M4" s="8" t="inlineStr"/>
    </row>
    <row r="5" ht="36" customHeight="1">
      <c r="A5" s="8" t="inlineStr">
        <is>
          <t>AH-030-04</t>
        </is>
      </c>
      <c r="B5" s="8" t="inlineStr">
        <is>
          <t>AdminDocUtilProjects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15:33:03</t>
        </is>
      </c>
      <c r="M5" s="8" t="inlineStr"/>
    </row>
    <row r="6" ht="36" customHeight="1">
      <c r="A6" s="8" t="inlineStr">
        <is>
          <t>AH-030-05</t>
        </is>
      </c>
      <c r="B6" s="8" t="inlineStr">
        <is>
          <t>AdminDocUtilProjects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15:33:03</t>
        </is>
      </c>
      <c r="M6" s="8" t="inlineStr"/>
    </row>
    <row r="7" ht="36" customHeight="1">
      <c r="A7" s="8" t="inlineStr">
        <is>
          <t>AH-030-06</t>
        </is>
      </c>
      <c r="B7" s="8" t="inlineStr">
        <is>
          <t>AdminDocUtilProjects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15:33:03</t>
        </is>
      </c>
      <c r="M7" s="8" t="inlineStr">
        <is>
          <t>tools/ui_e2e/screenshots/full/AH_PROT_AdminDocUtilProjects.png</t>
        </is>
      </c>
    </row>
    <row r="8" ht="36" customHeight="1">
      <c r="A8" s="8" t="inlineStr">
        <is>
          <t>AH-SP-050-docutil-projects</t>
        </is>
      </c>
      <c r="B8" s="8" t="inlineStr">
        <is>
          <t>DocUtil 프로젝트</t>
        </is>
      </c>
      <c r="C8" s="8" t="inlineStr">
        <is>
          <t>BFF 데이터 로드 (DocUtil → AgentHub BFF)</t>
        </is>
      </c>
      <c r="D8" s="8" t="inlineStr">
        <is>
          <t>(admin 로그인)</t>
        </is>
      </c>
      <c r="E8" s="8" t="inlineStr">
        <is>
          <t>/admin/docutil-projects 진입</t>
        </is>
      </c>
      <c r="F8" s="8" t="inlineStr">
        <is>
          <t>DocUtil API 응답 또는 5xx 시 한국어 에러 토스트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AdminDocUtilProjects: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AH-036-01</t>
        </is>
      </c>
      <c r="B2" s="8" t="inlineStr">
        <is>
          <t>AdminDocUtilReports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/admin/docutil-reports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duration=1799ms | final=http://192.168.10.39:64005/admin/docutil-reports</t>
        </is>
      </c>
      <c r="K2" s="8" t="inlineStr"/>
      <c r="L2" s="8" t="inlineStr">
        <is>
          <t>2026-05-12 15:33:13</t>
        </is>
      </c>
      <c r="M2" s="8" t="inlineStr">
        <is>
          <t>tools/ui_e2e/screenshots/full/AH_PROT_AdminDocUtilReports.png</t>
        </is>
      </c>
    </row>
    <row r="3" ht="36" customHeight="1">
      <c r="A3" s="8" t="inlineStr">
        <is>
          <t>AH-036-02</t>
        </is>
      </c>
      <c r="B3" s="8" t="inlineStr">
        <is>
          <t>AdminDocUtilReports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/admin/docutil-reports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final=http://192.168.10.39:64005/login?redirect=/admin/docutil-reports</t>
        </is>
      </c>
      <c r="K3" s="8" t="inlineStr">
        <is>
          <t>final=http://192.168.10.39:64005/login?redirect=/admin/docutil-reports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AH-036-03</t>
        </is>
      </c>
      <c r="B4" s="8" t="inlineStr">
        <is>
          <t>AdminDocUtilReports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15:33:13</t>
        </is>
      </c>
      <c r="M4" s="8" t="inlineStr"/>
    </row>
    <row r="5" ht="36" customHeight="1">
      <c r="A5" s="8" t="inlineStr">
        <is>
          <t>AH-036-04</t>
        </is>
      </c>
      <c r="B5" s="8" t="inlineStr">
        <is>
          <t>AdminDocUtilReports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15:33:13</t>
        </is>
      </c>
      <c r="M5" s="8" t="inlineStr"/>
    </row>
    <row r="6" ht="36" customHeight="1">
      <c r="A6" s="8" t="inlineStr">
        <is>
          <t>AH-036-05</t>
        </is>
      </c>
      <c r="B6" s="8" t="inlineStr">
        <is>
          <t>AdminDocUtilReports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15:33:13</t>
        </is>
      </c>
      <c r="M6" s="8" t="inlineStr"/>
    </row>
    <row r="7" ht="36" customHeight="1">
      <c r="A7" s="8" t="inlineStr">
        <is>
          <t>AH-036-06</t>
        </is>
      </c>
      <c r="B7" s="8" t="inlineStr">
        <is>
          <t>AdminDocUtilReports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15:33:13</t>
        </is>
      </c>
      <c r="M7" s="8" t="inlineStr">
        <is>
          <t>tools/ui_e2e/screenshots/full/AH_PROT_AdminDocUtilReports.png</t>
        </is>
      </c>
    </row>
    <row r="8" ht="36" customHeight="1">
      <c r="A8" s="8" t="inlineStr">
        <is>
          <t>AH-SP-050-docutil-reports</t>
        </is>
      </c>
      <c r="B8" s="8" t="inlineStr">
        <is>
          <t>DocUtil 보고서</t>
        </is>
      </c>
      <c r="C8" s="8" t="inlineStr">
        <is>
          <t>BFF 데이터 로드 (DocUtil → AgentHub BFF)</t>
        </is>
      </c>
      <c r="D8" s="8" t="inlineStr">
        <is>
          <t>(admin 로그인)</t>
        </is>
      </c>
      <c r="E8" s="8" t="inlineStr">
        <is>
          <t>/admin/docutil-reports 진입</t>
        </is>
      </c>
      <c r="F8" s="8" t="inlineStr">
        <is>
          <t>DocUtil API 응답 또는 5xx 시 한국어 에러 토스트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AdminDocUtilReports: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AH-033-01</t>
        </is>
      </c>
      <c r="B2" s="8" t="inlineStr">
        <is>
          <t>AdminDocUtilSearchScopes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/admin/docutil-search-scopes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duration=1782ms | final=http://192.168.10.39:64005/admin/docutil-search-scopes</t>
        </is>
      </c>
      <c r="K2" s="8" t="inlineStr"/>
      <c r="L2" s="8" t="inlineStr">
        <is>
          <t>2026-05-12 15:33:08</t>
        </is>
      </c>
      <c r="M2" s="8" t="inlineStr">
        <is>
          <t>tools/ui_e2e/screenshots/full/AH_PROT_AdminDocUtilSearchScopes.png</t>
        </is>
      </c>
    </row>
    <row r="3" ht="36" customHeight="1">
      <c r="A3" s="8" t="inlineStr">
        <is>
          <t>AH-033-02</t>
        </is>
      </c>
      <c r="B3" s="8" t="inlineStr">
        <is>
          <t>AdminDocUtilSearchScopes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/admin/docutil-search-scopes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final=http://192.168.10.39:64005/login?redirect=/admin/docutil-search-scopes</t>
        </is>
      </c>
      <c r="K3" s="8" t="inlineStr">
        <is>
          <t>final=http://192.168.10.39:64005/login?redirect=/admin/docutil-search-scopes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AH-033-03</t>
        </is>
      </c>
      <c r="B4" s="8" t="inlineStr">
        <is>
          <t>AdminDocUtilSearchScopes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15:33:08</t>
        </is>
      </c>
      <c r="M4" s="8" t="inlineStr"/>
    </row>
    <row r="5" ht="36" customHeight="1">
      <c r="A5" s="8" t="inlineStr">
        <is>
          <t>AH-033-04</t>
        </is>
      </c>
      <c r="B5" s="8" t="inlineStr">
        <is>
          <t>AdminDocUtilSearchScopes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15:33:08</t>
        </is>
      </c>
      <c r="M5" s="8" t="inlineStr"/>
    </row>
    <row r="6" ht="36" customHeight="1">
      <c r="A6" s="8" t="inlineStr">
        <is>
          <t>AH-033-05</t>
        </is>
      </c>
      <c r="B6" s="8" t="inlineStr">
        <is>
          <t>AdminDocUtilSearchScopes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15:33:08</t>
        </is>
      </c>
      <c r="M6" s="8" t="inlineStr"/>
    </row>
    <row r="7" ht="36" customHeight="1">
      <c r="A7" s="8" t="inlineStr">
        <is>
          <t>AH-033-06</t>
        </is>
      </c>
      <c r="B7" s="8" t="inlineStr">
        <is>
          <t>AdminDocUtilSearchScopes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15:33:08</t>
        </is>
      </c>
      <c r="M7" s="8" t="inlineStr">
        <is>
          <t>tools/ui_e2e/screenshots/full/AH_PROT_AdminDocUtilSearchScopes.png</t>
        </is>
      </c>
    </row>
    <row r="8" ht="36" customHeight="1">
      <c r="A8" s="8" t="inlineStr">
        <is>
          <t>AH-SP-050-docutil-search-scopes</t>
        </is>
      </c>
      <c r="B8" s="8" t="inlineStr">
        <is>
          <t>DocUtil 검색범위</t>
        </is>
      </c>
      <c r="C8" s="8" t="inlineStr">
        <is>
          <t>BFF 데이터 로드 (DocUtil → AgentHub BFF)</t>
        </is>
      </c>
      <c r="D8" s="8" t="inlineStr">
        <is>
          <t>(admin 로그인)</t>
        </is>
      </c>
      <c r="E8" s="8" t="inlineStr">
        <is>
          <t>/admin/docutil-search-scopes 진입</t>
        </is>
      </c>
      <c r="F8" s="8" t="inlineStr">
        <is>
          <t>DocUtil API 응답 또는 5xx 시 한국어 에러 토스트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AdminDocUtilSearchScopes: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AH-037-01</t>
        </is>
      </c>
      <c r="B2" s="8" t="inlineStr">
        <is>
          <t>AdminDocUtilTemplates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/admin/docutil-templates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duration=1800ms | final=http://192.168.10.39:64005/admin/docutil-templates</t>
        </is>
      </c>
      <c r="K2" s="8" t="inlineStr"/>
      <c r="L2" s="8" t="inlineStr">
        <is>
          <t>2026-05-12 15:33:15</t>
        </is>
      </c>
      <c r="M2" s="8" t="inlineStr">
        <is>
          <t>tools/ui_e2e/screenshots/full/AH_PROT_AdminDocUtilTemplates.png</t>
        </is>
      </c>
    </row>
    <row r="3" ht="36" customHeight="1">
      <c r="A3" s="8" t="inlineStr">
        <is>
          <t>AH-037-02</t>
        </is>
      </c>
      <c r="B3" s="8" t="inlineStr">
        <is>
          <t>AdminDocUtilTemplates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/admin/docutil-templates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final=http://192.168.10.39:64005/login?redirect=/admin/docutil-templates</t>
        </is>
      </c>
      <c r="K3" s="8" t="inlineStr">
        <is>
          <t>final=http://192.168.10.39:64005/login?redirect=/admin/docutil-templates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AH-037-03</t>
        </is>
      </c>
      <c r="B4" s="8" t="inlineStr">
        <is>
          <t>AdminDocUtilTemplates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15:33:15</t>
        </is>
      </c>
      <c r="M4" s="8" t="inlineStr"/>
    </row>
    <row r="5" ht="36" customHeight="1">
      <c r="A5" s="8" t="inlineStr">
        <is>
          <t>AH-037-04</t>
        </is>
      </c>
      <c r="B5" s="8" t="inlineStr">
        <is>
          <t>AdminDocUtilTemplates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15:33:15</t>
        </is>
      </c>
      <c r="M5" s="8" t="inlineStr"/>
    </row>
    <row r="6" ht="36" customHeight="1">
      <c r="A6" s="8" t="inlineStr">
        <is>
          <t>AH-037-05</t>
        </is>
      </c>
      <c r="B6" s="8" t="inlineStr">
        <is>
          <t>AdminDocUtilTemplates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15:33:15</t>
        </is>
      </c>
      <c r="M6" s="8" t="inlineStr"/>
    </row>
    <row r="7" ht="36" customHeight="1">
      <c r="A7" s="8" t="inlineStr">
        <is>
          <t>AH-037-06</t>
        </is>
      </c>
      <c r="B7" s="8" t="inlineStr">
        <is>
          <t>AdminDocUtilTemplates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15:33:15</t>
        </is>
      </c>
      <c r="M7" s="8" t="inlineStr">
        <is>
          <t>tools/ui_e2e/screenshots/full/AH_PROT_AdminDocUtilTemplates.png</t>
        </is>
      </c>
    </row>
    <row r="8" ht="36" customHeight="1">
      <c r="A8" s="8" t="inlineStr">
        <is>
          <t>AH-SP-050-docutil-templates</t>
        </is>
      </c>
      <c r="B8" s="8" t="inlineStr">
        <is>
          <t>DocUtil 템플릿</t>
        </is>
      </c>
      <c r="C8" s="8" t="inlineStr">
        <is>
          <t>BFF 데이터 로드 (DocUtil → AgentHub BFF)</t>
        </is>
      </c>
      <c r="D8" s="8" t="inlineStr">
        <is>
          <t>(admin 로그인)</t>
        </is>
      </c>
      <c r="E8" s="8" t="inlineStr">
        <is>
          <t>/admin/docutil-templates 진입</t>
        </is>
      </c>
      <c r="F8" s="8" t="inlineStr">
        <is>
          <t>DocUtil API 응답 또는 5xx 시 한국어 에러 토스트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AdminDocUtilTemplates: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AH-028-01</t>
        </is>
      </c>
      <c r="B2" s="8" t="inlineStr">
        <is>
          <t>AdminDocUtilUsers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/admin/docutil-users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duration=1802ms | final=http://192.168.10.39:64005/admin/docutil-users</t>
        </is>
      </c>
      <c r="K2" s="8" t="inlineStr"/>
      <c r="L2" s="8" t="inlineStr">
        <is>
          <t>2026-05-12 15:32:59</t>
        </is>
      </c>
      <c r="M2" s="8" t="inlineStr">
        <is>
          <t>tools/ui_e2e/screenshots/full/AH_PROT_AdminDocUtilUsers.png</t>
        </is>
      </c>
    </row>
    <row r="3" ht="36" customHeight="1">
      <c r="A3" s="8" t="inlineStr">
        <is>
          <t>AH-028-02</t>
        </is>
      </c>
      <c r="B3" s="8" t="inlineStr">
        <is>
          <t>AdminDocUtilUsers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/admin/docutil-users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final=http://192.168.10.39:64005/login?redirect=/admin/docutil-users</t>
        </is>
      </c>
      <c r="K3" s="8" t="inlineStr">
        <is>
          <t>final=http://192.168.10.39:64005/login?redirect=/admin/docutil-users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AH-028-03</t>
        </is>
      </c>
      <c r="B4" s="8" t="inlineStr">
        <is>
          <t>AdminDocUtilUsers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15:32:59</t>
        </is>
      </c>
      <c r="M4" s="8" t="inlineStr"/>
    </row>
    <row r="5" ht="36" customHeight="1">
      <c r="A5" s="8" t="inlineStr">
        <is>
          <t>AH-028-04</t>
        </is>
      </c>
      <c r="B5" s="8" t="inlineStr">
        <is>
          <t>AdminDocUtilUsers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15:32:59</t>
        </is>
      </c>
      <c r="M5" s="8" t="inlineStr"/>
    </row>
    <row r="6" ht="36" customHeight="1">
      <c r="A6" s="8" t="inlineStr">
        <is>
          <t>AH-028-05</t>
        </is>
      </c>
      <c r="B6" s="8" t="inlineStr">
        <is>
          <t>AdminDocUtilUsers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15:32:59</t>
        </is>
      </c>
      <c r="M6" s="8" t="inlineStr"/>
    </row>
    <row r="7" ht="36" customHeight="1">
      <c r="A7" s="8" t="inlineStr">
        <is>
          <t>AH-028-06</t>
        </is>
      </c>
      <c r="B7" s="8" t="inlineStr">
        <is>
          <t>AdminDocUtilUsers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15:32:59</t>
        </is>
      </c>
      <c r="M7" s="8" t="inlineStr">
        <is>
          <t>tools/ui_e2e/screenshots/full/AH_PROT_AdminDocUtilUsers.png</t>
        </is>
      </c>
    </row>
    <row r="8" ht="36" customHeight="1">
      <c r="A8" s="8" t="inlineStr">
        <is>
          <t>AH-SP-050-docutil-users</t>
        </is>
      </c>
      <c r="B8" s="8" t="inlineStr">
        <is>
          <t>DocUtil 사용자</t>
        </is>
      </c>
      <c r="C8" s="8" t="inlineStr">
        <is>
          <t>BFF 데이터 로드 (DocUtil → AgentHub BFF)</t>
        </is>
      </c>
      <c r="D8" s="8" t="inlineStr">
        <is>
          <t>(admin 로그인)</t>
        </is>
      </c>
      <c r="E8" s="8" t="inlineStr">
        <is>
          <t>/admin/docutil-users 진입</t>
        </is>
      </c>
      <c r="F8" s="8" t="inlineStr">
        <is>
          <t>DocUtil API 응답 또는 5xx 시 한국어 에러 토스트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AdminDocUtilUsers: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AH-025-01</t>
        </is>
      </c>
      <c r="B2" s="8" t="inlineStr">
        <is>
          <t>AdminKnowledgeBase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/admin/knowledge-base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duration=1822ms | final=http://192.168.10.39:64005/admin/knowledge-base</t>
        </is>
      </c>
      <c r="K2" s="8" t="inlineStr"/>
      <c r="L2" s="8" t="inlineStr">
        <is>
          <t>2026-05-12 15:32:54</t>
        </is>
      </c>
      <c r="M2" s="8" t="inlineStr">
        <is>
          <t>tools/ui_e2e/screenshots/full/AH_PROT_AdminKnowledgeBase.png</t>
        </is>
      </c>
    </row>
    <row r="3" ht="36" customHeight="1">
      <c r="A3" s="8" t="inlineStr">
        <is>
          <t>AH-025-02</t>
        </is>
      </c>
      <c r="B3" s="8" t="inlineStr">
        <is>
          <t>AdminKnowledgeBase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/admin/knowledge-base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final=http://192.168.10.39:64005/login?redirect=/admin/knowledge-base (redirected to http://192.168.10.39:64005/login?redirect=/admin/knowledge-base)</t>
        </is>
      </c>
      <c r="K3" s="8" t="inlineStr"/>
      <c r="L3" s="8" t="inlineStr">
        <is>
          <t>2026-05-12 15:34:01</t>
        </is>
      </c>
      <c r="M3" s="8" t="inlineStr"/>
    </row>
    <row r="4" ht="36" customHeight="1">
      <c r="A4" s="8" t="inlineStr">
        <is>
          <t>AH-025-03</t>
        </is>
      </c>
      <c r="B4" s="8" t="inlineStr">
        <is>
          <t>AdminKnowledgeBase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15:32:54</t>
        </is>
      </c>
      <c r="M4" s="8" t="inlineStr"/>
    </row>
    <row r="5" ht="36" customHeight="1">
      <c r="A5" s="8" t="inlineStr">
        <is>
          <t>AH-025-04</t>
        </is>
      </c>
      <c r="B5" s="8" t="inlineStr">
        <is>
          <t>AdminKnowledgeBase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15:32:54</t>
        </is>
      </c>
      <c r="M5" s="8" t="inlineStr"/>
    </row>
    <row r="6" ht="36" customHeight="1">
      <c r="A6" s="8" t="inlineStr">
        <is>
          <t>AH-025-05</t>
        </is>
      </c>
      <c r="B6" s="8" t="inlineStr">
        <is>
          <t>AdminKnowledgeBase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15:32:54</t>
        </is>
      </c>
      <c r="M6" s="8" t="inlineStr"/>
    </row>
    <row r="7" ht="36" customHeight="1">
      <c r="A7" s="8" t="inlineStr">
        <is>
          <t>AH-025-06</t>
        </is>
      </c>
      <c r="B7" s="8" t="inlineStr">
        <is>
          <t>AdminKnowledgeBase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15:32:54</t>
        </is>
      </c>
      <c r="M7" s="8" t="inlineStr">
        <is>
          <t>tools/ui_e2e/screenshots/full/AH_PROT_AdminKnowledgeBase.png</t>
        </is>
      </c>
    </row>
    <row r="8" ht="36" customHeight="1">
      <c r="A8" s="8" t="inlineStr">
        <is>
          <t>AH-SP-040</t>
        </is>
      </c>
      <c r="B8" s="8" t="inlineStr">
        <is>
          <t>운영자 KB</t>
        </is>
      </c>
      <c r="C8" s="8" t="inlineStr">
        <is>
          <t>KB 컬렉션 목록 로드 (DocUtil BFF)</t>
        </is>
      </c>
      <c r="D8" s="8" t="inlineStr">
        <is>
          <t>(admin 로그인)</t>
        </is>
      </c>
      <c r="E8" s="8" t="inlineStr">
        <is>
          <t>/admin/knowledge-base 진입</t>
        </is>
      </c>
      <c r="F8" s="8" t="inlineStr">
        <is>
          <t>DocUtil collections 목록 표시 또는 빈 상태 UI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AdminKnowledgeBase: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AH-026-01</t>
        </is>
      </c>
      <c r="B2" s="8" t="inlineStr">
        <is>
          <t>AdminKnowledgeBaseUpload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/admin/knowledge-base/upload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duration=1791ms | final=http://192.168.10.39:64005/admin/knowledge-base/upload</t>
        </is>
      </c>
      <c r="K2" s="8" t="inlineStr"/>
      <c r="L2" s="8" t="inlineStr">
        <is>
          <t>2026-05-12 15:32:56</t>
        </is>
      </c>
      <c r="M2" s="8" t="inlineStr">
        <is>
          <t>tools/ui_e2e/screenshots/full/AH_PROT_AdminKnowledgeBaseUpload.png</t>
        </is>
      </c>
    </row>
    <row r="3" ht="36" customHeight="1">
      <c r="A3" s="8" t="inlineStr">
        <is>
          <t>AH-026-02</t>
        </is>
      </c>
      <c r="B3" s="8" t="inlineStr">
        <is>
          <t>AdminKnowledgeBaseUpload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/admin/knowledge-base/upload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final=http://192.168.10.39:64005/login?redirect=/admin/knowledge-base/upload</t>
        </is>
      </c>
      <c r="K3" s="8" t="inlineStr">
        <is>
          <t>final=http://192.168.10.39:64005/login?redirect=/admin/knowledge-base/upload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AH-026-03</t>
        </is>
      </c>
      <c r="B4" s="8" t="inlineStr">
        <is>
          <t>AdminKnowledgeBaseUpload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15:32:56</t>
        </is>
      </c>
      <c r="M4" s="8" t="inlineStr"/>
    </row>
    <row r="5" ht="36" customHeight="1">
      <c r="A5" s="8" t="inlineStr">
        <is>
          <t>AH-026-04</t>
        </is>
      </c>
      <c r="B5" s="8" t="inlineStr">
        <is>
          <t>AdminKnowledgeBaseUpload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15:32:56</t>
        </is>
      </c>
      <c r="M5" s="8" t="inlineStr"/>
    </row>
    <row r="6" ht="36" customHeight="1">
      <c r="A6" s="8" t="inlineStr">
        <is>
          <t>AH-026-05</t>
        </is>
      </c>
      <c r="B6" s="8" t="inlineStr">
        <is>
          <t>AdminKnowledgeBaseUpload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15:32:56</t>
        </is>
      </c>
      <c r="M6" s="8" t="inlineStr"/>
    </row>
    <row r="7" ht="36" customHeight="1">
      <c r="A7" s="8" t="inlineStr">
        <is>
          <t>AH-026-06</t>
        </is>
      </c>
      <c r="B7" s="8" t="inlineStr">
        <is>
          <t>AdminKnowledgeBaseUpload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15:32:56</t>
        </is>
      </c>
      <c r="M7" s="8" t="inlineStr">
        <is>
          <t>tools/ui_e2e/screenshots/full/AH_PROT_AdminKnowledgeBaseUpload.png</t>
        </is>
      </c>
    </row>
  </sheetData>
  <conditionalFormatting sqref="I2:I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AH-027-01</t>
        </is>
      </c>
      <c r="B2" s="8" t="inlineStr">
        <is>
          <t>AdminRagMetrics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/admin/rag-metrics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duration=1784ms | final=http://192.168.10.39:64005/admin/rag-metrics</t>
        </is>
      </c>
      <c r="K2" s="8" t="inlineStr"/>
      <c r="L2" s="8" t="inlineStr">
        <is>
          <t>2026-05-12 15:32:57</t>
        </is>
      </c>
      <c r="M2" s="8" t="inlineStr">
        <is>
          <t>tools/ui_e2e/screenshots/full/AH_PROT_AdminRagMetrics.png</t>
        </is>
      </c>
    </row>
    <row r="3" ht="36" customHeight="1">
      <c r="A3" s="8" t="inlineStr">
        <is>
          <t>AH-027-02</t>
        </is>
      </c>
      <c r="B3" s="8" t="inlineStr">
        <is>
          <t>AdminRagMetrics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/admin/rag-metrics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final=http://192.168.10.39:64005/login?redirect=/admin/rag-metrics</t>
        </is>
      </c>
      <c r="K3" s="8" t="inlineStr">
        <is>
          <t>final=http://192.168.10.39:64005/login?redirect=/admin/rag-metrics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AH-027-03</t>
        </is>
      </c>
      <c r="B4" s="8" t="inlineStr">
        <is>
          <t>AdminRagMetrics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15:32:57</t>
        </is>
      </c>
      <c r="M4" s="8" t="inlineStr"/>
    </row>
    <row r="5" ht="36" customHeight="1">
      <c r="A5" s="8" t="inlineStr">
        <is>
          <t>AH-027-04</t>
        </is>
      </c>
      <c r="B5" s="8" t="inlineStr">
        <is>
          <t>AdminRagMetrics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15:32:57</t>
        </is>
      </c>
      <c r="M5" s="8" t="inlineStr"/>
    </row>
    <row r="6" ht="36" customHeight="1">
      <c r="A6" s="8" t="inlineStr">
        <is>
          <t>AH-027-05</t>
        </is>
      </c>
      <c r="B6" s="8" t="inlineStr">
        <is>
          <t>AdminRagMetrics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15:32:57</t>
        </is>
      </c>
      <c r="M6" s="8" t="inlineStr"/>
    </row>
    <row r="7" ht="36" customHeight="1">
      <c r="A7" s="8" t="inlineStr">
        <is>
          <t>AH-027-06</t>
        </is>
      </c>
      <c r="B7" s="8" t="inlineStr">
        <is>
          <t>AdminRagMetrics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15:32:57</t>
        </is>
      </c>
      <c r="M7" s="8" t="inlineStr">
        <is>
          <t>tools/ui_e2e/screenshots/full/AH_PROT_AdminRagMetrics.png</t>
        </is>
      </c>
    </row>
    <row r="8" ht="36" customHeight="1">
      <c r="A8" s="8" t="inlineStr">
        <is>
          <t>AH-SP-041</t>
        </is>
      </c>
      <c r="B8" s="8" t="inlineStr">
        <is>
          <t>RAG 메트릭</t>
        </is>
      </c>
      <c r="C8" s="8" t="inlineStr">
        <is>
          <t>RAG 메트릭 차트 표시</t>
        </is>
      </c>
      <c r="D8" s="8" t="inlineStr">
        <is>
          <t>(admin 로그인)</t>
        </is>
      </c>
      <c r="E8" s="8" t="inlineStr">
        <is>
          <t>/admin/rag-metrics 진입</t>
        </is>
      </c>
      <c r="F8" s="8" t="inlineStr">
        <is>
          <t>메트릭 차트/표 렌더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AdminRagMetrics: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AH-015-01</t>
        </is>
      </c>
      <c r="B2" s="8" t="inlineStr">
        <is>
          <t>AgentBuilder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/agents/builder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duration=1801ms | final=http://192.168.10.39:64005/agents/builder</t>
        </is>
      </c>
      <c r="K2" s="8" t="inlineStr"/>
      <c r="L2" s="8" t="inlineStr">
        <is>
          <t>2026-05-12 15:32:36</t>
        </is>
      </c>
      <c r="M2" s="8" t="inlineStr">
        <is>
          <t>tools/ui_e2e/screenshots/full/AH_PROT_AgentBuilder.png</t>
        </is>
      </c>
    </row>
    <row r="3" ht="36" customHeight="1">
      <c r="A3" s="8" t="inlineStr">
        <is>
          <t>AH-015-02</t>
        </is>
      </c>
      <c r="B3" s="8" t="inlineStr">
        <is>
          <t>AgentBuilder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/agents/builder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final=http://192.168.10.39:64005/login?redirect=/agents/builder</t>
        </is>
      </c>
      <c r="K3" s="8" t="inlineStr">
        <is>
          <t>final=http://192.168.10.39:64005/login?redirect=/agents/builder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AH-015-03</t>
        </is>
      </c>
      <c r="B4" s="8" t="inlineStr">
        <is>
          <t>AgentBuilder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15:32:36</t>
        </is>
      </c>
      <c r="M4" s="8" t="inlineStr"/>
    </row>
    <row r="5" ht="36" customHeight="1">
      <c r="A5" s="8" t="inlineStr">
        <is>
          <t>AH-015-04</t>
        </is>
      </c>
      <c r="B5" s="8" t="inlineStr">
        <is>
          <t>AgentBuilder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15:32:36</t>
        </is>
      </c>
      <c r="M5" s="8" t="inlineStr"/>
    </row>
    <row r="6" ht="36" customHeight="1">
      <c r="A6" s="8" t="inlineStr">
        <is>
          <t>AH-015-05</t>
        </is>
      </c>
      <c r="B6" s="8" t="inlineStr">
        <is>
          <t>AgentBuilder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15:32:36</t>
        </is>
      </c>
      <c r="M6" s="8" t="inlineStr"/>
    </row>
    <row r="7" ht="36" customHeight="1">
      <c r="A7" s="8" t="inlineStr">
        <is>
          <t>AH-015-06</t>
        </is>
      </c>
      <c r="B7" s="8" t="inlineStr">
        <is>
          <t>AgentBuilder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15:32:36</t>
        </is>
      </c>
      <c r="M7" s="8" t="inlineStr">
        <is>
          <t>tools/ui_e2e/screenshots/full/AH_PROT_AgentBuilder.png</t>
        </is>
      </c>
    </row>
    <row r="8" ht="36" customHeight="1">
      <c r="A8" s="8" t="inlineStr">
        <is>
          <t>AH-SP-032</t>
        </is>
      </c>
      <c r="B8" s="8" t="inlineStr">
        <is>
          <t>에이전트 빌더</t>
        </is>
      </c>
      <c r="C8" s="8" t="inlineStr">
        <is>
          <t>신규 에이전트 생성 폼 표시</t>
        </is>
      </c>
      <c r="D8" s="8" t="inlineStr">
        <is>
          <t>(admin 로그인)</t>
        </is>
      </c>
      <c r="E8" s="8" t="inlineStr">
        <is>
          <t>/agents/builder 진입</t>
        </is>
      </c>
      <c r="F8" s="8" t="inlineStr">
        <is>
          <t>이름/모델/시스템 프롬프트 입력 필드 가시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AgentBuilder: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AH-013-01</t>
        </is>
      </c>
      <c r="B2" s="8" t="inlineStr">
        <is>
          <t>AgentChat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/agents/chat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duration=2727ms | final=http://192.168.10.39:64005/agents/chat</t>
        </is>
      </c>
      <c r="K2" s="8" t="inlineStr"/>
      <c r="L2" s="8" t="inlineStr">
        <is>
          <t>2026-05-12 15:32:31</t>
        </is>
      </c>
      <c r="M2" s="8" t="inlineStr">
        <is>
          <t>tools/ui_e2e/screenshots/full/AH_PROT_AgentChat.png</t>
        </is>
      </c>
    </row>
    <row r="3" ht="36" customHeight="1">
      <c r="A3" s="8" t="inlineStr">
        <is>
          <t>AH-013-02</t>
        </is>
      </c>
      <c r="B3" s="8" t="inlineStr">
        <is>
          <t>AgentChat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/agents/chat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final=http://192.168.10.39:64005/login?redirect=/agents/chat</t>
        </is>
      </c>
      <c r="K3" s="8" t="inlineStr">
        <is>
          <t>final=http://192.168.10.39:64005/login?redirect=/agents/chat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AH-013-03</t>
        </is>
      </c>
      <c r="B4" s="8" t="inlineStr">
        <is>
          <t>AgentChat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15:32:31</t>
        </is>
      </c>
      <c r="M4" s="8" t="inlineStr"/>
    </row>
    <row r="5" ht="36" customHeight="1">
      <c r="A5" s="8" t="inlineStr">
        <is>
          <t>AH-013-04</t>
        </is>
      </c>
      <c r="B5" s="8" t="inlineStr">
        <is>
          <t>AgentChat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15:32:31</t>
        </is>
      </c>
      <c r="M5" s="8" t="inlineStr"/>
    </row>
    <row r="6" ht="36" customHeight="1">
      <c r="A6" s="8" t="inlineStr">
        <is>
          <t>AH-013-05</t>
        </is>
      </c>
      <c r="B6" s="8" t="inlineStr">
        <is>
          <t>AgentChat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15:32:31</t>
        </is>
      </c>
      <c r="M6" s="8" t="inlineStr"/>
    </row>
    <row r="7" ht="36" customHeight="1">
      <c r="A7" s="8" t="inlineStr">
        <is>
          <t>AH-013-06</t>
        </is>
      </c>
      <c r="B7" s="8" t="inlineStr">
        <is>
          <t>AgentChat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15:32:31</t>
        </is>
      </c>
      <c r="M7" s="8" t="inlineStr">
        <is>
          <t>tools/ui_e2e/screenshots/full/AH_PROT_AgentChat.png</t>
        </is>
      </c>
    </row>
    <row r="8" ht="36" customHeight="1">
      <c r="A8" s="8" t="inlineStr">
        <is>
          <t>AH-SP-031</t>
        </is>
      </c>
      <c r="B8" s="8" t="inlineStr">
        <is>
          <t>에이전트 채팅</t>
        </is>
      </c>
      <c r="C8" s="8" t="inlineStr">
        <is>
          <t>[시나리오 2 인용] LLM 1회 호출</t>
        </is>
      </c>
      <c r="D8" s="8" t="inlineStr">
        <is>
          <t>트랙 #75 commit b7de919 참조</t>
        </is>
      </c>
      <c r="E8" s="8" t="inlineStr">
        <is>
          <t>(자동화 완료 — 재실행 안 함)</t>
        </is>
      </c>
      <c r="F8" s="8" t="inlineStr">
        <is>
          <t>PASS (시나리오 2 결과 인용 — LLM 비용 1회만)</t>
        </is>
      </c>
      <c r="G8" s="8" t="inlineStr">
        <is>
          <t>cost</t>
        </is>
      </c>
      <c r="H8" s="8" t="inlineStr">
        <is>
          <t>manual</t>
        </is>
      </c>
      <c r="I8" s="8" t="inlineStr">
        <is>
          <t>PASS</t>
        </is>
      </c>
      <c r="J8" s="8" t="inlineStr"/>
      <c r="K8" s="8" t="inlineStr">
        <is>
          <t>[시나리오 2 인용] tools/ui_e2e/scenario_2_result.json (b7de919)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AH-008-01</t>
        </is>
      </c>
      <c r="B2" s="8" t="inlineStr">
        <is>
          <t>AgentEmbed</t>
        </is>
      </c>
      <c r="C2" s="8" t="inlineStr">
        <is>
          <t>화면 진입 (anonymous)</t>
        </is>
      </c>
      <c r="D2" s="8" t="inlineStr">
        <is>
          <t>(미로그인) anonymous</t>
        </is>
      </c>
      <c r="E2" s="8" t="inlineStr">
        <is>
          <t>GET /embed/test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duration=1770ms | final=http://192.168.10.39:64005/embed/test | net_issues=1: [{'url': 'http://192.168.10.39:64005/api/agents/public/test/info', 'status': 404}]</t>
        </is>
      </c>
      <c r="K2" s="8" t="inlineStr"/>
      <c r="L2" s="8" t="inlineStr">
        <is>
          <t>2026-05-12 15:32:21</t>
        </is>
      </c>
      <c r="M2" s="8" t="inlineStr">
        <is>
          <t>tools/ui_e2e/screenshots/full/AH_PUB_AgentEmbed.png</t>
        </is>
      </c>
    </row>
    <row r="3" ht="36" customHeight="1">
      <c r="A3" s="8" t="inlineStr">
        <is>
          <t>AH-008-02</t>
        </is>
      </c>
      <c r="B3" s="8" t="inlineStr">
        <is>
          <t>AgentEmbed</t>
        </is>
      </c>
      <c r="C3" s="8" t="inlineStr">
        <is>
          <t>권한 분기 (admin 진입도 허용)</t>
        </is>
      </c>
      <c r="D3" s="8" t="inlineStr">
        <is>
          <t>(admin 로그인 상태)</t>
        </is>
      </c>
      <c r="E3" s="8" t="inlineStr">
        <is>
          <t>GET /embed/test</t>
        </is>
      </c>
      <c r="F3" s="8" t="inlineStr">
        <is>
          <t>redirect=true 가 아닌 경우 그대로 표시 또는 routerGuard 에 따라 /로 이동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/>
      <c r="K3" s="8" t="inlineStr"/>
      <c r="L3" s="8" t="inlineStr">
        <is>
          <t>2026-05-12 15:32:21</t>
        </is>
      </c>
      <c r="M3" s="8" t="inlineStr"/>
    </row>
    <row r="4" ht="36" customHeight="1">
      <c r="A4" s="8" t="inlineStr">
        <is>
          <t>AH-008-03</t>
        </is>
      </c>
      <c r="B4" s="8" t="inlineStr">
        <is>
          <t>AgentEmbed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15:32:21</t>
        </is>
      </c>
      <c r="M4" s="8" t="inlineStr"/>
    </row>
    <row r="5" ht="36" customHeight="1">
      <c r="A5" s="8" t="inlineStr">
        <is>
          <t>AH-008-06</t>
        </is>
      </c>
      <c r="B5" s="8" t="inlineStr">
        <is>
          <t>AgentEmbed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15:32:21</t>
        </is>
      </c>
      <c r="M5" s="8" t="inlineStr">
        <is>
          <t>tools/ui_e2e/screenshots/full/AH_PUB_AgentEmbed.png</t>
        </is>
      </c>
    </row>
    <row r="6" ht="36" customHeight="1">
      <c r="A6" s="8" t="inlineStr">
        <is>
          <t>AH-SP-122</t>
        </is>
      </c>
      <c r="B6" s="8" t="inlineStr">
        <is>
          <t>임베드</t>
        </is>
      </c>
      <c r="C6" s="8" t="inlineStr">
        <is>
          <t>잘못된 code → 에러 표시</t>
        </is>
      </c>
      <c r="D6" s="8" t="inlineStr">
        <is>
          <t>(미로그인)</t>
        </is>
      </c>
      <c r="E6" s="8" t="inlineStr">
        <is>
          <t>/embed/nonexistent 진입</t>
        </is>
      </c>
      <c r="F6" s="8" t="inlineStr">
        <is>
          <t>404 또는 에러 메시지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>
        <is>
          <t>[라이브 라우트 결과 인용] AgentEmbed: PASS</t>
        </is>
      </c>
      <c r="L6" s="8" t="inlineStr">
        <is>
          <t>2026-05-12 (인용)</t>
        </is>
      </c>
      <c r="M6" s="8" t="inlineStr"/>
    </row>
  </sheetData>
  <conditionalFormatting sqref="I2:I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AH-020-01</t>
        </is>
      </c>
      <c r="B2" s="8" t="inlineStr">
        <is>
          <t>AgentMarketplace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/agents/marketplace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duration=1795ms | final=http://192.168.10.39:64005/agents/marketplace</t>
        </is>
      </c>
      <c r="K2" s="8" t="inlineStr"/>
      <c r="L2" s="8" t="inlineStr">
        <is>
          <t>2026-05-12 15:32:45</t>
        </is>
      </c>
      <c r="M2" s="8" t="inlineStr">
        <is>
          <t>tools/ui_e2e/screenshots/full/AH_PROT_AgentMarketplace.png</t>
        </is>
      </c>
    </row>
    <row r="3" ht="36" customHeight="1">
      <c r="A3" s="8" t="inlineStr">
        <is>
          <t>AH-020-02</t>
        </is>
      </c>
      <c r="B3" s="8" t="inlineStr">
        <is>
          <t>AgentMarketplace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/agents/marketplace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final=http://192.168.10.39:64005/login?redirect=/agents/marketplace</t>
        </is>
      </c>
      <c r="K3" s="8" t="inlineStr">
        <is>
          <t>final=http://192.168.10.39:64005/login?redirect=/agents/marketplace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AH-020-03</t>
        </is>
      </c>
      <c r="B4" s="8" t="inlineStr">
        <is>
          <t>AgentMarketplace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15:32:45</t>
        </is>
      </c>
      <c r="M4" s="8" t="inlineStr"/>
    </row>
    <row r="5" ht="36" customHeight="1">
      <c r="A5" s="8" t="inlineStr">
        <is>
          <t>AH-020-04</t>
        </is>
      </c>
      <c r="B5" s="8" t="inlineStr">
        <is>
          <t>AgentMarketplace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15:32:45</t>
        </is>
      </c>
      <c r="M5" s="8" t="inlineStr"/>
    </row>
    <row r="6" ht="36" customHeight="1">
      <c r="A6" s="8" t="inlineStr">
        <is>
          <t>AH-020-05</t>
        </is>
      </c>
      <c r="B6" s="8" t="inlineStr">
        <is>
          <t>AgentMarketplace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15:32:45</t>
        </is>
      </c>
      <c r="M6" s="8" t="inlineStr"/>
    </row>
    <row r="7" ht="36" customHeight="1">
      <c r="A7" s="8" t="inlineStr">
        <is>
          <t>AH-020-06</t>
        </is>
      </c>
      <c r="B7" s="8" t="inlineStr">
        <is>
          <t>AgentMarketplace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15:32:45</t>
        </is>
      </c>
      <c r="M7" s="8" t="inlineStr">
        <is>
          <t>tools/ui_e2e/screenshots/full/AH_PROT_AgentMarketplace.png</t>
        </is>
      </c>
    </row>
    <row r="8" ht="36" customHeight="1">
      <c r="A8" s="8" t="inlineStr">
        <is>
          <t>AH-SP-100</t>
        </is>
      </c>
      <c r="B8" s="8" t="inlineStr">
        <is>
          <t>에이전트 마켓플레이스</t>
        </is>
      </c>
      <c r="C8" s="8" t="inlineStr">
        <is>
          <t>마켓플레이스 카드 표시</t>
        </is>
      </c>
      <c r="D8" s="8" t="inlineStr">
        <is>
          <t>(admin 로그인)</t>
        </is>
      </c>
      <c r="E8" s="8" t="inlineStr">
        <is>
          <t>/agents/marketplace 진입</t>
        </is>
      </c>
      <c r="F8" s="8" t="inlineStr">
        <is>
          <t>에이전트 카드 그리드 렌더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AgentMarketplace: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AH-014-01</t>
        </is>
      </c>
      <c r="B2" s="8" t="inlineStr">
        <is>
          <t>AgentMultiChat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/agents/multi-chat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duration=1813ms | final=http://192.168.10.39:64005/agents/multi-chat</t>
        </is>
      </c>
      <c r="K2" s="8" t="inlineStr"/>
      <c r="L2" s="8" t="inlineStr">
        <is>
          <t>2026-05-12 15:32:34</t>
        </is>
      </c>
      <c r="M2" s="8" t="inlineStr">
        <is>
          <t>tools/ui_e2e/screenshots/full/AH_PROT_AgentMultiChat.png</t>
        </is>
      </c>
    </row>
    <row r="3" ht="36" customHeight="1">
      <c r="A3" s="8" t="inlineStr">
        <is>
          <t>AH-014-02</t>
        </is>
      </c>
      <c r="B3" s="8" t="inlineStr">
        <is>
          <t>AgentMultiChat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/agents/multi-chat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final=http://192.168.10.39:64005/login?redirect=/agents/multi-chat</t>
        </is>
      </c>
      <c r="K3" s="8" t="inlineStr">
        <is>
          <t>final=http://192.168.10.39:64005/login?redirect=/agents/multi-chat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AH-014-03</t>
        </is>
      </c>
      <c r="B4" s="8" t="inlineStr">
        <is>
          <t>AgentMultiChat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15:32:34</t>
        </is>
      </c>
      <c r="M4" s="8" t="inlineStr"/>
    </row>
    <row r="5" ht="36" customHeight="1">
      <c r="A5" s="8" t="inlineStr">
        <is>
          <t>AH-014-04</t>
        </is>
      </c>
      <c r="B5" s="8" t="inlineStr">
        <is>
          <t>AgentMultiChat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15:32:34</t>
        </is>
      </c>
      <c r="M5" s="8" t="inlineStr"/>
    </row>
    <row r="6" ht="36" customHeight="1">
      <c r="A6" s="8" t="inlineStr">
        <is>
          <t>AH-014-05</t>
        </is>
      </c>
      <c r="B6" s="8" t="inlineStr">
        <is>
          <t>AgentMultiChat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15:32:34</t>
        </is>
      </c>
      <c r="M6" s="8" t="inlineStr"/>
    </row>
    <row r="7" ht="36" customHeight="1">
      <c r="A7" s="8" t="inlineStr">
        <is>
          <t>AH-014-06</t>
        </is>
      </c>
      <c r="B7" s="8" t="inlineStr">
        <is>
          <t>AgentMultiChat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15:32:34</t>
        </is>
      </c>
      <c r="M7" s="8" t="inlineStr">
        <is>
          <t>tools/ui_e2e/screenshots/full/AH_PROT_AgentMultiChat.png</t>
        </is>
      </c>
    </row>
    <row r="8" ht="36" customHeight="1">
      <c r="A8" s="8" t="inlineStr">
        <is>
          <t>AH-SP-120</t>
        </is>
      </c>
      <c r="B8" s="8" t="inlineStr">
        <is>
          <t>다중 에이전트 채팅</t>
        </is>
      </c>
      <c r="C8" s="8" t="inlineStr">
        <is>
          <t>다중 채팅 UI 마운트</t>
        </is>
      </c>
      <c r="D8" s="8" t="inlineStr">
        <is>
          <t>(admin 로그인)</t>
        </is>
      </c>
      <c r="E8" s="8" t="inlineStr">
        <is>
          <t>/agents/multi-chat 진입</t>
        </is>
      </c>
      <c r="F8" s="8" t="inlineStr">
        <is>
          <t>다중 패널 UI 가시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AgentMultiChat: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AH-007-01</t>
        </is>
      </c>
      <c r="B2" s="8" t="inlineStr">
        <is>
          <t>AgentPublicChat</t>
        </is>
      </c>
      <c r="C2" s="8" t="inlineStr">
        <is>
          <t>화면 진입 (anonymous)</t>
        </is>
      </c>
      <c r="D2" s="8" t="inlineStr">
        <is>
          <t>(미로그인) anonymous</t>
        </is>
      </c>
      <c r="E2" s="8" t="inlineStr">
        <is>
          <t>GET /chatbot/test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duration=1773ms | final=http://192.168.10.39:64005/chatbot/test | net_issues=1: [{'url': 'http://192.168.10.39:64005/api/agents/public/test/info', 'status': 404}]</t>
        </is>
      </c>
      <c r="K2" s="8" t="inlineStr"/>
      <c r="L2" s="8" t="inlineStr">
        <is>
          <t>2026-05-12 15:32:20</t>
        </is>
      </c>
      <c r="M2" s="8" t="inlineStr">
        <is>
          <t>tools/ui_e2e/screenshots/full/AH_PUB_AgentPublicChat.png</t>
        </is>
      </c>
    </row>
    <row r="3" ht="36" customHeight="1">
      <c r="A3" s="8" t="inlineStr">
        <is>
          <t>AH-007-02</t>
        </is>
      </c>
      <c r="B3" s="8" t="inlineStr">
        <is>
          <t>AgentPublicChat</t>
        </is>
      </c>
      <c r="C3" s="8" t="inlineStr">
        <is>
          <t>권한 분기 (admin 진입도 허용)</t>
        </is>
      </c>
      <c r="D3" s="8" t="inlineStr">
        <is>
          <t>(admin 로그인 상태)</t>
        </is>
      </c>
      <c r="E3" s="8" t="inlineStr">
        <is>
          <t>GET /chatbot/test</t>
        </is>
      </c>
      <c r="F3" s="8" t="inlineStr">
        <is>
          <t>redirect=true 가 아닌 경우 그대로 표시 또는 routerGuard 에 따라 /로 이동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/>
      <c r="K3" s="8" t="inlineStr"/>
      <c r="L3" s="8" t="inlineStr">
        <is>
          <t>2026-05-12 15:32:20</t>
        </is>
      </c>
      <c r="M3" s="8" t="inlineStr"/>
    </row>
    <row r="4" ht="36" customHeight="1">
      <c r="A4" s="8" t="inlineStr">
        <is>
          <t>AH-007-03</t>
        </is>
      </c>
      <c r="B4" s="8" t="inlineStr">
        <is>
          <t>AgentPublicChat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15:32:20</t>
        </is>
      </c>
      <c r="M4" s="8" t="inlineStr"/>
    </row>
    <row r="5" ht="36" customHeight="1">
      <c r="A5" s="8" t="inlineStr">
        <is>
          <t>AH-007-06</t>
        </is>
      </c>
      <c r="B5" s="8" t="inlineStr">
        <is>
          <t>AgentPublicChat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15:32:20</t>
        </is>
      </c>
      <c r="M5" s="8" t="inlineStr">
        <is>
          <t>tools/ui_e2e/screenshots/full/AH_PUB_AgentPublicChat.png</t>
        </is>
      </c>
    </row>
    <row r="6" ht="36" customHeight="1">
      <c r="A6" s="8" t="inlineStr">
        <is>
          <t>AH-SP-121</t>
        </is>
      </c>
      <c r="B6" s="8" t="inlineStr">
        <is>
          <t>공개 챗봇</t>
        </is>
      </c>
      <c r="C6" s="8" t="inlineStr">
        <is>
          <t>잘못된 code → 404 또는 한국어 에러</t>
        </is>
      </c>
      <c r="D6" s="8" t="inlineStr">
        <is>
          <t>(미로그인)</t>
        </is>
      </c>
      <c r="E6" s="8" t="inlineStr">
        <is>
          <t>/chatbot/nonexistent 진입</t>
        </is>
      </c>
      <c r="F6" s="8" t="inlineStr">
        <is>
          <t>404 페이지 또는 '에이전트를 찾을 수 없습니다' 메시지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>
        <is>
          <t>[라이브 라우트 결과 인용] AgentPublicChat: PASS</t>
        </is>
      </c>
      <c r="L6" s="8" t="inlineStr">
        <is>
          <t>2026-05-12 (인용)</t>
        </is>
      </c>
      <c r="M6" s="8" t="inlineStr"/>
    </row>
  </sheetData>
  <conditionalFormatting sqref="I2:I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AH-021-01</t>
        </is>
      </c>
      <c r="B2" s="8" t="inlineStr">
        <is>
          <t>AgentTemplates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/agents/templates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duration=1786ms | final=http://192.168.10.39:64005/agents/templates</t>
        </is>
      </c>
      <c r="K2" s="8" t="inlineStr"/>
      <c r="L2" s="8" t="inlineStr">
        <is>
          <t>2026-05-12 15:32:46</t>
        </is>
      </c>
      <c r="M2" s="8" t="inlineStr">
        <is>
          <t>tools/ui_e2e/screenshots/full/AH_PROT_AgentTemplates.png</t>
        </is>
      </c>
    </row>
    <row r="3" ht="36" customHeight="1">
      <c r="A3" s="8" t="inlineStr">
        <is>
          <t>AH-021-02</t>
        </is>
      </c>
      <c r="B3" s="8" t="inlineStr">
        <is>
          <t>AgentTemplates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/agents/templates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final=http://192.168.10.39:64005/login?redirect=/agents/templates</t>
        </is>
      </c>
      <c r="K3" s="8" t="inlineStr">
        <is>
          <t>final=http://192.168.10.39:64005/login?redirect=/agents/templates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AH-021-03</t>
        </is>
      </c>
      <c r="B4" s="8" t="inlineStr">
        <is>
          <t>AgentTemplates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15:32:46</t>
        </is>
      </c>
      <c r="M4" s="8" t="inlineStr"/>
    </row>
    <row r="5" ht="36" customHeight="1">
      <c r="A5" s="8" t="inlineStr">
        <is>
          <t>AH-021-04</t>
        </is>
      </c>
      <c r="B5" s="8" t="inlineStr">
        <is>
          <t>AgentTemplates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15:32:46</t>
        </is>
      </c>
      <c r="M5" s="8" t="inlineStr"/>
    </row>
    <row r="6" ht="36" customHeight="1">
      <c r="A6" s="8" t="inlineStr">
        <is>
          <t>AH-021-05</t>
        </is>
      </c>
      <c r="B6" s="8" t="inlineStr">
        <is>
          <t>AgentTemplates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15:32:46</t>
        </is>
      </c>
      <c r="M6" s="8" t="inlineStr"/>
    </row>
    <row r="7" ht="36" customHeight="1">
      <c r="A7" s="8" t="inlineStr">
        <is>
          <t>AH-021-06</t>
        </is>
      </c>
      <c r="B7" s="8" t="inlineStr">
        <is>
          <t>AgentTemplates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15:32:46</t>
        </is>
      </c>
      <c r="M7" s="8" t="inlineStr">
        <is>
          <t>tools/ui_e2e/screenshots/full/AH_PROT_AgentTemplates.png</t>
        </is>
      </c>
    </row>
    <row r="8" ht="36" customHeight="1">
      <c r="A8" s="8" t="inlineStr">
        <is>
          <t>AH-SP-101</t>
        </is>
      </c>
      <c r="B8" s="8" t="inlineStr">
        <is>
          <t>에이전트 템플릿</t>
        </is>
      </c>
      <c r="C8" s="8" t="inlineStr">
        <is>
          <t>템플릿 목록 표시</t>
        </is>
      </c>
      <c r="D8" s="8" t="inlineStr">
        <is>
          <t>(admin 로그인)</t>
        </is>
      </c>
      <c r="E8" s="8" t="inlineStr">
        <is>
          <t>/agents/templates 진입</t>
        </is>
      </c>
      <c r="F8" s="8" t="inlineStr">
        <is>
          <t>템플릿 카드 렌더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AgentTemplates: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AH-009-01</t>
        </is>
      </c>
      <c r="B2" s="8" t="inlineStr">
        <is>
          <t>AgentTestPage</t>
        </is>
      </c>
      <c r="C2" s="8" t="inlineStr">
        <is>
          <t>화면 진입 (anonymous)</t>
        </is>
      </c>
      <c r="D2" s="8" t="inlineStr">
        <is>
          <t>(미로그인) anonymous</t>
        </is>
      </c>
      <c r="E2" s="8" t="inlineStr">
        <is>
          <t>GET /agent-test/test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duration=1829ms | final=http://192.168.10.39:64005/login?redirect=/agent-test/test | REDIRECTED</t>
        </is>
      </c>
      <c r="K2" s="8" t="inlineStr"/>
      <c r="L2" s="8" t="inlineStr">
        <is>
          <t>2026-05-12 15:32:23</t>
        </is>
      </c>
      <c r="M2" s="8" t="inlineStr">
        <is>
          <t>tools/ui_e2e/screenshots/full/AH_PUB_AgentTestPage.png</t>
        </is>
      </c>
    </row>
    <row r="3" ht="36" customHeight="1">
      <c r="A3" s="8" t="inlineStr">
        <is>
          <t>AH-009-02</t>
        </is>
      </c>
      <c r="B3" s="8" t="inlineStr">
        <is>
          <t>AgentTestPage</t>
        </is>
      </c>
      <c r="C3" s="8" t="inlineStr">
        <is>
          <t>권한 분기 (admin 진입도 허용)</t>
        </is>
      </c>
      <c r="D3" s="8" t="inlineStr">
        <is>
          <t>(admin 로그인 상태)</t>
        </is>
      </c>
      <c r="E3" s="8" t="inlineStr">
        <is>
          <t>GET /agent-test/test</t>
        </is>
      </c>
      <c r="F3" s="8" t="inlineStr">
        <is>
          <t>redirect=true 가 아닌 경우 그대로 표시 또는 routerGuard 에 따라 /로 이동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/>
      <c r="K3" s="8" t="inlineStr"/>
      <c r="L3" s="8" t="inlineStr">
        <is>
          <t>2026-05-12 15:32:23</t>
        </is>
      </c>
      <c r="M3" s="8" t="inlineStr"/>
    </row>
    <row r="4" ht="36" customHeight="1">
      <c r="A4" s="8" t="inlineStr">
        <is>
          <t>AH-009-03</t>
        </is>
      </c>
      <c r="B4" s="8" t="inlineStr">
        <is>
          <t>AgentTestPage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15:32:23</t>
        </is>
      </c>
      <c r="M4" s="8" t="inlineStr"/>
    </row>
    <row r="5" ht="36" customHeight="1">
      <c r="A5" s="8" t="inlineStr">
        <is>
          <t>AH-009-06</t>
        </is>
      </c>
      <c r="B5" s="8" t="inlineStr">
        <is>
          <t>AgentTestPage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15:32:23</t>
        </is>
      </c>
      <c r="M5" s="8" t="inlineStr">
        <is>
          <t>tools/ui_e2e/screenshots/full/AH_PUB_AgentTestPage.png</t>
        </is>
      </c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AH-012-01</t>
        </is>
      </c>
      <c r="B2" s="8" t="inlineStr">
        <is>
          <t>Agents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/agents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duration=1814ms | final=http://192.168.10.39:64005/agents</t>
        </is>
      </c>
      <c r="K2" s="8" t="inlineStr"/>
      <c r="L2" s="8" t="inlineStr">
        <is>
          <t>2026-05-12 15:32:29</t>
        </is>
      </c>
      <c r="M2" s="8" t="inlineStr">
        <is>
          <t>tools/ui_e2e/screenshots/full/AH_PROT_Agents.png</t>
        </is>
      </c>
    </row>
    <row r="3" ht="36" customHeight="1">
      <c r="A3" s="8" t="inlineStr">
        <is>
          <t>AH-012-02</t>
        </is>
      </c>
      <c r="B3" s="8" t="inlineStr">
        <is>
          <t>Agents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/agents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final=http://192.168.10.39:64005/login?redirect=/agents (redirected to http://192.168.10.39:64005/login?redirect=/agents)</t>
        </is>
      </c>
      <c r="K3" s="8" t="inlineStr"/>
      <c r="L3" s="8" t="inlineStr">
        <is>
          <t>2026-05-12 15:33:57</t>
        </is>
      </c>
      <c r="M3" s="8" t="inlineStr"/>
    </row>
    <row r="4" ht="36" customHeight="1">
      <c r="A4" s="8" t="inlineStr">
        <is>
          <t>AH-012-03</t>
        </is>
      </c>
      <c r="B4" s="8" t="inlineStr">
        <is>
          <t>Agents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15:32:29</t>
        </is>
      </c>
      <c r="M4" s="8" t="inlineStr"/>
    </row>
    <row r="5" ht="36" customHeight="1">
      <c r="A5" s="8" t="inlineStr">
        <is>
          <t>AH-012-04</t>
        </is>
      </c>
      <c r="B5" s="8" t="inlineStr">
        <is>
          <t>Agents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15:32:29</t>
        </is>
      </c>
      <c r="M5" s="8" t="inlineStr"/>
    </row>
    <row r="6" ht="36" customHeight="1">
      <c r="A6" s="8" t="inlineStr">
        <is>
          <t>AH-012-05</t>
        </is>
      </c>
      <c r="B6" s="8" t="inlineStr">
        <is>
          <t>Agents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15:32:29</t>
        </is>
      </c>
      <c r="M6" s="8" t="inlineStr"/>
    </row>
    <row r="7" ht="36" customHeight="1">
      <c r="A7" s="8" t="inlineStr">
        <is>
          <t>AH-012-06</t>
        </is>
      </c>
      <c r="B7" s="8" t="inlineStr">
        <is>
          <t>Agents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15:32:29</t>
        </is>
      </c>
      <c r="M7" s="8" t="inlineStr">
        <is>
          <t>tools/ui_e2e/screenshots/full/AH_PROT_Agents.png</t>
        </is>
      </c>
    </row>
    <row r="8" ht="36" customHeight="1">
      <c r="A8" s="8" t="inlineStr">
        <is>
          <t>AH-SP-030</t>
        </is>
      </c>
      <c r="B8" s="8" t="inlineStr">
        <is>
          <t>에이전트 목록</t>
        </is>
      </c>
      <c r="C8" s="8" t="inlineStr">
        <is>
          <t>에이전트 카드 클릭 → 채팅 진입</t>
        </is>
      </c>
      <c r="D8" s="8" t="inlineStr">
        <is>
          <t>(admin 로그인 + 에이전트 1+ 존재)</t>
        </is>
      </c>
      <c r="E8" s="8" t="inlineStr">
        <is>
          <t>첫 에이전트 카드 클릭</t>
        </is>
      </c>
      <c r="F8" s="8" t="inlineStr">
        <is>
          <t>/agents/chat/{id} 라우팅 + 채팅 컴포넌트 마운트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Agents: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AH-017-01</t>
        </is>
      </c>
      <c r="B2" s="8" t="inlineStr">
        <is>
          <t>Analytics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/analytics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FAIL</t>
        </is>
      </c>
      <c r="J2" s="8" t="inlineStr">
        <is>
          <t>DOM mounted=True | duration=1814ms | final=http://192.168.10.39:64005/analytics | net_issues=2: [{'url': 'http://192.168.10.39:64005/api/analytics/dashboard', 'status': 500}, {'url': 'http://192.168.10.39:64005/api/analytics/agents/21/stats?period=month', 'status': 500}] | console_errors=1: ['Error loading analytics data: y']</t>
        </is>
      </c>
      <c r="K2" s="8" t="inlineStr">
        <is>
          <t>운영 백엔드 결함: 500 http://192.168.10.39:64005/api/analytics/dashboard / 운영 백엔드 결함: 500 http://192.168.10.39:64005/api/analytics/agents/21/stats?period=month</t>
        </is>
      </c>
      <c r="L2" s="8" t="inlineStr">
        <is>
          <t>2026-05-12 15:32:39</t>
        </is>
      </c>
      <c r="M2" s="8" t="inlineStr">
        <is>
          <t>tools/ui_e2e/screenshots/full/AH_PROT_Analytics.png</t>
        </is>
      </c>
    </row>
    <row r="3" ht="36" customHeight="1">
      <c r="A3" s="8" t="inlineStr">
        <is>
          <t>AH-017-02</t>
        </is>
      </c>
      <c r="B3" s="8" t="inlineStr">
        <is>
          <t>Analytics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/analytics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final=http://192.168.10.39:64005/login?redirect=/analytics</t>
        </is>
      </c>
      <c r="K3" s="8" t="inlineStr">
        <is>
          <t>final=http://192.168.10.39:64005/login?redirect=/analytics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AH-017-03</t>
        </is>
      </c>
      <c r="B4" s="8" t="inlineStr">
        <is>
          <t>Analytics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FAIL</t>
        </is>
      </c>
      <c r="J4" s="8" t="inlineStr"/>
      <c r="K4" s="8" t="inlineStr">
        <is>
          <t>운영 백엔드 결함: 500 http://192.168.10.39:64005/api/analytics/dashboard</t>
        </is>
      </c>
      <c r="L4" s="8" t="inlineStr">
        <is>
          <t>2026-05-12 15:32:39</t>
        </is>
      </c>
      <c r="M4" s="8" t="inlineStr"/>
    </row>
    <row r="5" ht="36" customHeight="1">
      <c r="A5" s="8" t="inlineStr">
        <is>
          <t>AH-017-04</t>
        </is>
      </c>
      <c r="B5" s="8" t="inlineStr">
        <is>
          <t>Analytics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FAIL</t>
        </is>
      </c>
      <c r="J5" s="8" t="inlineStr"/>
      <c r="K5" s="8" t="inlineStr">
        <is>
          <t>운영 백엔드 결함: 500 http://192.168.10.39:64005/api/analytics/dashboard</t>
        </is>
      </c>
      <c r="L5" s="8" t="inlineStr">
        <is>
          <t>2026-05-12 15:32:39</t>
        </is>
      </c>
      <c r="M5" s="8" t="inlineStr"/>
    </row>
    <row r="6" ht="36" customHeight="1">
      <c r="A6" s="8" t="inlineStr">
        <is>
          <t>AH-017-05</t>
        </is>
      </c>
      <c r="B6" s="8" t="inlineStr">
        <is>
          <t>Analytics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15:32:39</t>
        </is>
      </c>
      <c r="M6" s="8" t="inlineStr"/>
    </row>
    <row r="7" ht="36" customHeight="1">
      <c r="A7" s="8" t="inlineStr">
        <is>
          <t>AH-017-06</t>
        </is>
      </c>
      <c r="B7" s="8" t="inlineStr">
        <is>
          <t>Analytics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15:32:39</t>
        </is>
      </c>
      <c r="M7" s="8" t="inlineStr">
        <is>
          <t>tools/ui_e2e/screenshots/full/AH_PROT_Analytics.png</t>
        </is>
      </c>
    </row>
    <row r="8" ht="36" customHeight="1">
      <c r="A8" s="8" t="inlineStr">
        <is>
          <t>AH-SP-064</t>
        </is>
      </c>
      <c r="B8" s="8" t="inlineStr">
        <is>
          <t>분석</t>
        </is>
      </c>
      <c r="C8" s="8" t="inlineStr">
        <is>
          <t>차트 렌더 + 기간 필터</t>
        </is>
      </c>
      <c r="D8" s="8" t="inlineStr">
        <is>
          <t>(admin 로그인)</t>
        </is>
      </c>
      <c r="E8" s="8" t="inlineStr">
        <is>
          <t>/analytics 진입</t>
        </is>
      </c>
      <c r="F8" s="8" t="inlineStr">
        <is>
          <t>차트 1+ 렌더, 기간 선택기 가시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FAIL</t>
        </is>
      </c>
      <c r="J8" s="8" t="inlineStr"/>
      <c r="K8" s="8" t="inlineStr">
        <is>
          <t>[라이브 라우트 결과 인용] Analytics: FAIL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AH-043-01</t>
        </is>
      </c>
      <c r="B2" s="8" t="inlineStr">
        <is>
          <t>ApiKeys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/api-keys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duration=1783ms | final=http://192.168.10.39:64005/api-keys</t>
        </is>
      </c>
      <c r="K2" s="8" t="inlineStr"/>
      <c r="L2" s="8" t="inlineStr">
        <is>
          <t>2026-05-12 15:33:26</t>
        </is>
      </c>
      <c r="M2" s="8" t="inlineStr">
        <is>
          <t>tools/ui_e2e/screenshots/full/AH_PROT_ApiKeys.png</t>
        </is>
      </c>
    </row>
    <row r="3" ht="36" customHeight="1">
      <c r="A3" s="8" t="inlineStr">
        <is>
          <t>AH-043-02</t>
        </is>
      </c>
      <c r="B3" s="8" t="inlineStr">
        <is>
          <t>ApiKeys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/api-keys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final=http://192.168.10.39:64005/login?redirect=/api-keys (redirected to http://192.168.10.39:64005/login?redirect=/api-keys)</t>
        </is>
      </c>
      <c r="K3" s="8" t="inlineStr"/>
      <c r="L3" s="8" t="inlineStr">
        <is>
          <t>2026-05-12 15:33:59</t>
        </is>
      </c>
      <c r="M3" s="8" t="inlineStr"/>
    </row>
    <row r="4" ht="36" customHeight="1">
      <c r="A4" s="8" t="inlineStr">
        <is>
          <t>AH-043-03</t>
        </is>
      </c>
      <c r="B4" s="8" t="inlineStr">
        <is>
          <t>ApiKeys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15:33:26</t>
        </is>
      </c>
      <c r="M4" s="8" t="inlineStr"/>
    </row>
    <row r="5" ht="36" customHeight="1">
      <c r="A5" s="8" t="inlineStr">
        <is>
          <t>AH-043-04</t>
        </is>
      </c>
      <c r="B5" s="8" t="inlineStr">
        <is>
          <t>ApiKeys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15:33:26</t>
        </is>
      </c>
      <c r="M5" s="8" t="inlineStr"/>
    </row>
    <row r="6" ht="36" customHeight="1">
      <c r="A6" s="8" t="inlineStr">
        <is>
          <t>AH-043-05</t>
        </is>
      </c>
      <c r="B6" s="8" t="inlineStr">
        <is>
          <t>ApiKeys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15:33:26</t>
        </is>
      </c>
      <c r="M6" s="8" t="inlineStr"/>
    </row>
    <row r="7" ht="36" customHeight="1">
      <c r="A7" s="8" t="inlineStr">
        <is>
          <t>AH-043-06</t>
        </is>
      </c>
      <c r="B7" s="8" t="inlineStr">
        <is>
          <t>ApiKeys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15:33:26</t>
        </is>
      </c>
      <c r="M7" s="8" t="inlineStr">
        <is>
          <t>tools/ui_e2e/screenshots/full/AH_PROT_ApiKeys.png</t>
        </is>
      </c>
    </row>
    <row r="8" ht="36" customHeight="1">
      <c r="A8" s="8" t="inlineStr">
        <is>
          <t>AH-SP-020</t>
        </is>
      </c>
      <c r="B8" s="8" t="inlineStr">
        <is>
          <t>API 키</t>
        </is>
      </c>
      <c r="C8" s="8" t="inlineStr">
        <is>
          <t>탭 전환 (관리자 / Agent API 키)</t>
        </is>
      </c>
      <c r="D8" s="8" t="inlineStr">
        <is>
          <t>(admin 로그인)</t>
        </is>
      </c>
      <c r="E8" s="8" t="inlineStr">
        <is>
          <t>두 탭 클릭하여 전환</t>
        </is>
      </c>
      <c r="F8" s="8" t="inlineStr">
        <is>
          <t>각 탭 콘텐츠 렌더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ApiKeys: PASS</t>
        </is>
      </c>
      <c r="L8" s="8" t="inlineStr">
        <is>
          <t>2026-05-12 (인용)</t>
        </is>
      </c>
      <c r="M8" s="8" t="inlineStr"/>
    </row>
    <row r="9" ht="36" customHeight="1">
      <c r="A9" s="8" t="inlineStr">
        <is>
          <t>AH-SP-021</t>
        </is>
      </c>
      <c r="B9" s="8" t="inlineStr">
        <is>
          <t>API 키</t>
        </is>
      </c>
      <c r="C9" s="8" t="inlineStr">
        <is>
          <t>[시나리오 1 인용] Agent API 키 발급+회수 1 cycle</t>
        </is>
      </c>
      <c r="D9" s="8" t="inlineStr">
        <is>
          <t>트랙 #75 commit b7de919 참조</t>
        </is>
      </c>
      <c r="E9" s="8" t="inlineStr">
        <is>
          <t>(자동화 완료 — 재실행 안 함)</t>
        </is>
      </c>
      <c r="F9" s="8" t="inlineStr">
        <is>
          <t>PASS (시나리오 1 결과 인용)</t>
        </is>
      </c>
      <c r="G9" s="8" t="inlineStr">
        <is>
          <t>mutation</t>
        </is>
      </c>
      <c r="H9" s="8" t="inlineStr">
        <is>
          <t>manual</t>
        </is>
      </c>
      <c r="I9" s="8" t="inlineStr">
        <is>
          <t>PASS</t>
        </is>
      </c>
      <c r="J9" s="8" t="inlineStr"/>
      <c r="K9" s="8" t="inlineStr">
        <is>
          <t>[시나리오 1 인용] tools/ui_e2e/scenario_1_result.json (b7de919)</t>
        </is>
      </c>
      <c r="L9" s="8" t="inlineStr">
        <is>
          <t>2026-05-12 (인용)</t>
        </is>
      </c>
      <c r="M9" s="8" t="inlineStr"/>
    </row>
  </sheetData>
  <conditionalFormatting sqref="I2:I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AH-022-01</t>
        </is>
      </c>
      <c r="B2" s="8" t="inlineStr">
        <is>
          <t>AuditLog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/audit-log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duration=1825ms | final=http://192.168.10.39:64005/audit-log</t>
        </is>
      </c>
      <c r="K2" s="8" t="inlineStr"/>
      <c r="L2" s="8" t="inlineStr">
        <is>
          <t>2026-05-12 15:32:48</t>
        </is>
      </c>
      <c r="M2" s="8" t="inlineStr">
        <is>
          <t>tools/ui_e2e/screenshots/full/AH_PROT_AuditLog.png</t>
        </is>
      </c>
    </row>
    <row r="3" ht="36" customHeight="1">
      <c r="A3" s="8" t="inlineStr">
        <is>
          <t>AH-022-02</t>
        </is>
      </c>
      <c r="B3" s="8" t="inlineStr">
        <is>
          <t>AuditLog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/audit-log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final=http://192.168.10.39:64005/login?redirect=/audit-log</t>
        </is>
      </c>
      <c r="K3" s="8" t="inlineStr">
        <is>
          <t>final=http://192.168.10.39:64005/login?redirect=/audit-log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AH-022-03</t>
        </is>
      </c>
      <c r="B4" s="8" t="inlineStr">
        <is>
          <t>AuditLog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15:32:48</t>
        </is>
      </c>
      <c r="M4" s="8" t="inlineStr"/>
    </row>
    <row r="5" ht="36" customHeight="1">
      <c r="A5" s="8" t="inlineStr">
        <is>
          <t>AH-022-04</t>
        </is>
      </c>
      <c r="B5" s="8" t="inlineStr">
        <is>
          <t>AuditLog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15:32:48</t>
        </is>
      </c>
      <c r="M5" s="8" t="inlineStr"/>
    </row>
    <row r="6" ht="36" customHeight="1">
      <c r="A6" s="8" t="inlineStr">
        <is>
          <t>AH-022-05</t>
        </is>
      </c>
      <c r="B6" s="8" t="inlineStr">
        <is>
          <t>AuditLog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15:32:48</t>
        </is>
      </c>
      <c r="M6" s="8" t="inlineStr"/>
    </row>
    <row r="7" ht="36" customHeight="1">
      <c r="A7" s="8" t="inlineStr">
        <is>
          <t>AH-022-06</t>
        </is>
      </c>
      <c r="B7" s="8" t="inlineStr">
        <is>
          <t>AuditLog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15:32:48</t>
        </is>
      </c>
      <c r="M7" s="8" t="inlineStr">
        <is>
          <t>tools/ui_e2e/screenshots/full/AH_PROT_AuditLog.png</t>
        </is>
      </c>
    </row>
    <row r="8" ht="36" customHeight="1">
      <c r="A8" s="8" t="inlineStr">
        <is>
          <t>AH-SP-065</t>
        </is>
      </c>
      <c r="B8" s="8" t="inlineStr">
        <is>
          <t>감사 로그</t>
        </is>
      </c>
      <c r="C8" s="8" t="inlineStr">
        <is>
          <t>감사 로그 표 + 필터</t>
        </is>
      </c>
      <c r="D8" s="8" t="inlineStr">
        <is>
          <t>(admin 로그인)</t>
        </is>
      </c>
      <c r="E8" s="8" t="inlineStr">
        <is>
          <t>/audit-log 진입</t>
        </is>
      </c>
      <c r="F8" s="8" t="inlineStr">
        <is>
          <t>감사 로그 행 렌더 또는 빈 상태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AuditLog: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AH-044-01</t>
        </is>
      </c>
      <c r="B2" s="8" t="inlineStr">
        <is>
          <t>BannedWords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/banned-words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duration=1808ms | final=http://192.168.10.39:64005/banned-words</t>
        </is>
      </c>
      <c r="K2" s="8" t="inlineStr"/>
      <c r="L2" s="8" t="inlineStr">
        <is>
          <t>2026-05-12 15:33:28</t>
        </is>
      </c>
      <c r="M2" s="8" t="inlineStr">
        <is>
          <t>tools/ui_e2e/screenshots/full/AH_PROT_BannedWords.png</t>
        </is>
      </c>
    </row>
    <row r="3" ht="36" customHeight="1">
      <c r="A3" s="8" t="inlineStr">
        <is>
          <t>AH-044-02</t>
        </is>
      </c>
      <c r="B3" s="8" t="inlineStr">
        <is>
          <t>BannedWords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/banned-words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final=http://192.168.10.39:64005/login?redirect=/banned-words</t>
        </is>
      </c>
      <c r="K3" s="8" t="inlineStr">
        <is>
          <t>final=http://192.168.10.39:64005/login?redirect=/banned-words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AH-044-03</t>
        </is>
      </c>
      <c r="B4" s="8" t="inlineStr">
        <is>
          <t>BannedWords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15:33:28</t>
        </is>
      </c>
      <c r="M4" s="8" t="inlineStr"/>
    </row>
    <row r="5" ht="36" customHeight="1">
      <c r="A5" s="8" t="inlineStr">
        <is>
          <t>AH-044-04</t>
        </is>
      </c>
      <c r="B5" s="8" t="inlineStr">
        <is>
          <t>BannedWords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15:33:28</t>
        </is>
      </c>
      <c r="M5" s="8" t="inlineStr"/>
    </row>
    <row r="6" ht="36" customHeight="1">
      <c r="A6" s="8" t="inlineStr">
        <is>
          <t>AH-044-05</t>
        </is>
      </c>
      <c r="B6" s="8" t="inlineStr">
        <is>
          <t>BannedWords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15:33:28</t>
        </is>
      </c>
      <c r="M6" s="8" t="inlineStr"/>
    </row>
    <row r="7" ht="36" customHeight="1">
      <c r="A7" s="8" t="inlineStr">
        <is>
          <t>AH-044-06</t>
        </is>
      </c>
      <c r="B7" s="8" t="inlineStr">
        <is>
          <t>BannedWords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15:33:28</t>
        </is>
      </c>
      <c r="M7" s="8" t="inlineStr">
        <is>
          <t>tools/ui_e2e/screenshots/full/AH_PROT_BannedWords.png</t>
        </is>
      </c>
    </row>
    <row r="8" ht="36" customHeight="1">
      <c r="A8" s="8" t="inlineStr">
        <is>
          <t>AH-SP-066</t>
        </is>
      </c>
      <c r="B8" s="8" t="inlineStr">
        <is>
          <t>금칙어</t>
        </is>
      </c>
      <c r="C8" s="8" t="inlineStr">
        <is>
          <t>금칙어 목록 표시</t>
        </is>
      </c>
      <c r="D8" s="8" t="inlineStr">
        <is>
          <t>(admin 로그인)</t>
        </is>
      </c>
      <c r="E8" s="8" t="inlineStr">
        <is>
          <t>/banned-words 진입</t>
        </is>
      </c>
      <c r="F8" s="8" t="inlineStr">
        <is>
          <t>금칙어 목록 + 카테고리 필터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BannedWords: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AH-023-01</t>
        </is>
      </c>
      <c r="B2" s="8" t="inlineStr">
        <is>
          <t>CostAnalysis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/cost-analysis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duration=1787ms | final=http://192.168.10.39:64005/cost-analysis</t>
        </is>
      </c>
      <c r="K2" s="8" t="inlineStr"/>
      <c r="L2" s="8" t="inlineStr">
        <is>
          <t>2026-05-12 15:32:50</t>
        </is>
      </c>
      <c r="M2" s="8" t="inlineStr">
        <is>
          <t>tools/ui_e2e/screenshots/full/AH_PROT_CostAnalysis.png</t>
        </is>
      </c>
    </row>
    <row r="3" ht="36" customHeight="1">
      <c r="A3" s="8" t="inlineStr">
        <is>
          <t>AH-023-02</t>
        </is>
      </c>
      <c r="B3" s="8" t="inlineStr">
        <is>
          <t>CostAnalysis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/cost-analysis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final=http://192.168.10.39:64005/login?redirect=/cost-analysis</t>
        </is>
      </c>
      <c r="K3" s="8" t="inlineStr">
        <is>
          <t>final=http://192.168.10.39:64005/login?redirect=/cost-analysis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AH-023-03</t>
        </is>
      </c>
      <c r="B4" s="8" t="inlineStr">
        <is>
          <t>CostAnalysis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15:32:50</t>
        </is>
      </c>
      <c r="M4" s="8" t="inlineStr"/>
    </row>
    <row r="5" ht="36" customHeight="1">
      <c r="A5" s="8" t="inlineStr">
        <is>
          <t>AH-023-04</t>
        </is>
      </c>
      <c r="B5" s="8" t="inlineStr">
        <is>
          <t>CostAnalysis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15:32:50</t>
        </is>
      </c>
      <c r="M5" s="8" t="inlineStr"/>
    </row>
    <row r="6" ht="36" customHeight="1">
      <c r="A6" s="8" t="inlineStr">
        <is>
          <t>AH-023-05</t>
        </is>
      </c>
      <c r="B6" s="8" t="inlineStr">
        <is>
          <t>CostAnalysis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15:32:50</t>
        </is>
      </c>
      <c r="M6" s="8" t="inlineStr"/>
    </row>
    <row r="7" ht="36" customHeight="1">
      <c r="A7" s="8" t="inlineStr">
        <is>
          <t>AH-023-06</t>
        </is>
      </c>
      <c r="B7" s="8" t="inlineStr">
        <is>
          <t>CostAnalysis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15:32:50</t>
        </is>
      </c>
      <c r="M7" s="8" t="inlineStr">
        <is>
          <t>tools/ui_e2e/screenshots/full/AH_PROT_CostAnalysis.png</t>
        </is>
      </c>
    </row>
    <row r="8" ht="36" customHeight="1">
      <c r="A8" s="8" t="inlineStr">
        <is>
          <t>AH-SP-072</t>
        </is>
      </c>
      <c r="B8" s="8" t="inlineStr">
        <is>
          <t>비용 분석</t>
        </is>
      </c>
      <c r="C8" s="8" t="inlineStr">
        <is>
          <t>비용 차트 표시</t>
        </is>
      </c>
      <c r="D8" s="8" t="inlineStr">
        <is>
          <t>(admin 로그인)</t>
        </is>
      </c>
      <c r="E8" s="8" t="inlineStr">
        <is>
          <t>/cost-analysis 진입</t>
        </is>
      </c>
      <c r="F8" s="8" t="inlineStr">
        <is>
          <t>프로바이더/모델별 비용 차트 렌더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CostAnalysis: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DU-005-01</t>
        </is>
      </c>
      <c r="B2" s="8" t="inlineStr">
        <is>
          <t>DU_AdminAccounts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/admin-accounts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DU-005-02</t>
        </is>
      </c>
      <c r="B3" s="8" t="inlineStr">
        <is>
          <t>DU_AdminAccounts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/admin-accounts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DU-005-03</t>
        </is>
      </c>
      <c r="B4" s="8" t="inlineStr">
        <is>
          <t>DU_AdminAccounts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DU-005-06</t>
        </is>
      </c>
      <c r="B5" s="8" t="inlineStr">
        <is>
          <t>DU_AdminAccounts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DU-004-01</t>
        </is>
      </c>
      <c r="B2" s="8" t="inlineStr">
        <is>
          <t>DU_AdminDashboard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/dashboard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DU-004-02</t>
        </is>
      </c>
      <c r="B3" s="8" t="inlineStr">
        <is>
          <t>DU_AdminDashboard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/dashboard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DU-004-03</t>
        </is>
      </c>
      <c r="B4" s="8" t="inlineStr">
        <is>
          <t>DU_AdminDashboard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DU-004-06</t>
        </is>
      </c>
      <c r="B5" s="8" t="inlineStr">
        <is>
          <t>DU_AdminDashboard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DU-006-01</t>
        </is>
      </c>
      <c r="B2" s="8" t="inlineStr">
        <is>
          <t>DU_Agents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/agents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DU-006-02</t>
        </is>
      </c>
      <c r="B3" s="8" t="inlineStr">
        <is>
          <t>DU_Agents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/agents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DU-006-03</t>
        </is>
      </c>
      <c r="B4" s="8" t="inlineStr">
        <is>
          <t>DU_Agents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DU-006-06</t>
        </is>
      </c>
      <c r="B5" s="8" t="inlineStr">
        <is>
          <t>DU_Agents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DU-007-01</t>
        </is>
      </c>
      <c r="B2" s="8" t="inlineStr">
        <is>
          <t>DU_ApiKeys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/api-keys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DU-007-02</t>
        </is>
      </c>
      <c r="B3" s="8" t="inlineStr">
        <is>
          <t>DU_ApiKeys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/api-keys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DU-007-03</t>
        </is>
      </c>
      <c r="B4" s="8" t="inlineStr">
        <is>
          <t>DU_ApiKeys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DU-007-06</t>
        </is>
      </c>
      <c r="B5" s="8" t="inlineStr">
        <is>
          <t>DU_ApiKeys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DU-019-01</t>
        </is>
      </c>
      <c r="B2" s="8" t="inlineStr">
        <is>
          <t>DU_Chat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/chat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DU-019-02</t>
        </is>
      </c>
      <c r="B3" s="8" t="inlineStr">
        <is>
          <t>DU_Chat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/chat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DU-019-03</t>
        </is>
      </c>
      <c r="B4" s="8" t="inlineStr">
        <is>
          <t>DU_Chat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DU-019-06</t>
        </is>
      </c>
      <c r="B5" s="8" t="inlineStr">
        <is>
          <t>DU_Chat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DU-008-01</t>
        </is>
      </c>
      <c r="B2" s="8" t="inlineStr">
        <is>
          <t>DU_Departments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/departments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DU-008-02</t>
        </is>
      </c>
      <c r="B3" s="8" t="inlineStr">
        <is>
          <t>DU_Departments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/departments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DU-008-03</t>
        </is>
      </c>
      <c r="B4" s="8" t="inlineStr">
        <is>
          <t>DU_Departments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DU-008-06</t>
        </is>
      </c>
      <c r="B5" s="8" t="inlineStr">
        <is>
          <t>DU_Departments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DU-020-01</t>
        </is>
      </c>
      <c r="B2" s="8" t="inlineStr">
        <is>
          <t>DU_DesignerCreate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/designer/create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DU-020-02</t>
        </is>
      </c>
      <c r="B3" s="8" t="inlineStr">
        <is>
          <t>DU_DesignerCreate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/designer/create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DU-020-03</t>
        </is>
      </c>
      <c r="B4" s="8" t="inlineStr">
        <is>
          <t>DU_DesignerCreate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DU-020-06</t>
        </is>
      </c>
      <c r="B5" s="8" t="inlineStr">
        <is>
          <t>DU_DesignerCreate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DU-022-01</t>
        </is>
      </c>
      <c r="B2" s="8" t="inlineStr">
        <is>
          <t>DU_DesignerDocument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/designer/dummy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DU-022-02</t>
        </is>
      </c>
      <c r="B3" s="8" t="inlineStr">
        <is>
          <t>DU_DesignerDocument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/designer/dummy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DU-022-03</t>
        </is>
      </c>
      <c r="B4" s="8" t="inlineStr">
        <is>
          <t>DU_DesignerDocument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DU-022-06</t>
        </is>
      </c>
      <c r="B5" s="8" t="inlineStr">
        <is>
          <t>DU_DesignerDocument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DU-021-01</t>
        </is>
      </c>
      <c r="B2" s="8" t="inlineStr">
        <is>
          <t>DU_DesignerFill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/designer/fill/dummy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DU-021-02</t>
        </is>
      </c>
      <c r="B3" s="8" t="inlineStr">
        <is>
          <t>DU_DesignerFill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/designer/fill/dummy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DU-021-03</t>
        </is>
      </c>
      <c r="B4" s="8" t="inlineStr">
        <is>
          <t>DU_DesignerFill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DU-021-06</t>
        </is>
      </c>
      <c r="B5" s="8" t="inlineStr">
        <is>
          <t>DU_DesignerFill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DU-009-01</t>
        </is>
      </c>
      <c r="B2" s="8" t="inlineStr">
        <is>
          <t>DU_Documents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/documents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DU-009-02</t>
        </is>
      </c>
      <c r="B3" s="8" t="inlineStr">
        <is>
          <t>DU_Documents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/documents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DU-009-03</t>
        </is>
      </c>
      <c r="B4" s="8" t="inlineStr">
        <is>
          <t>DU_Documents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DU-009-06</t>
        </is>
      </c>
      <c r="B5" s="8" t="inlineStr">
        <is>
          <t>DU_Documents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DU-010-01</t>
        </is>
      </c>
      <c r="B2" s="8" t="inlineStr">
        <is>
          <t>DU_Evaluation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/evaluation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DU-010-02</t>
        </is>
      </c>
      <c r="B3" s="8" t="inlineStr">
        <is>
          <t>DU_Evaluation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/evaluation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DU-010-03</t>
        </is>
      </c>
      <c r="B4" s="8" t="inlineStr">
        <is>
          <t>DU_Evaluation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DU-010-06</t>
        </is>
      </c>
      <c r="B5" s="8" t="inlineStr">
        <is>
          <t>DU_Evaluation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DU-011-01</t>
        </is>
      </c>
      <c r="B2" s="8" t="inlineStr">
        <is>
          <t>DU_Help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/help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DU-011-02</t>
        </is>
      </c>
      <c r="B3" s="8" t="inlineStr">
        <is>
          <t>DU_Help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/help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DU-011-03</t>
        </is>
      </c>
      <c r="B4" s="8" t="inlineStr">
        <is>
          <t>DU_Help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DU-011-06</t>
        </is>
      </c>
      <c r="B5" s="8" t="inlineStr">
        <is>
          <t>DU_Help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DU-001-01</t>
        </is>
      </c>
      <c r="B2" s="8" t="inlineStr">
        <is>
          <t>DU_Home</t>
        </is>
      </c>
      <c r="C2" s="8" t="inlineStr">
        <is>
          <t>화면 진입 (anonymous)</t>
        </is>
      </c>
      <c r="D2" s="8" t="inlineStr">
        <is>
          <t>(미로그인) anonymous</t>
        </is>
      </c>
      <c r="E2" s="8" t="inlineStr">
        <is>
          <t>GET /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duration=1813ms | final=http://192.168.10.39:8041/login | REDIRECTED</t>
        </is>
      </c>
      <c r="K2" s="8" t="inlineStr"/>
      <c r="L2" s="8" t="inlineStr">
        <is>
          <t>2026-05-12 15:34:03</t>
        </is>
      </c>
      <c r="M2" s="8" t="inlineStr">
        <is>
          <t>tools/ui_e2e/screenshots/full/DU_DU_Home.png</t>
        </is>
      </c>
    </row>
    <row r="3" ht="36" customHeight="1">
      <c r="A3" s="8" t="inlineStr">
        <is>
          <t>DU-001-02</t>
        </is>
      </c>
      <c r="B3" s="8" t="inlineStr">
        <is>
          <t>DU_Home</t>
        </is>
      </c>
      <c r="C3" s="8" t="inlineStr">
        <is>
          <t>권한 분기 (admin 진입도 허용)</t>
        </is>
      </c>
      <c r="D3" s="8" t="inlineStr">
        <is>
          <t>(admin 로그인 상태)</t>
        </is>
      </c>
      <c r="E3" s="8" t="inlineStr">
        <is>
          <t>GET /</t>
        </is>
      </c>
      <c r="F3" s="8" t="inlineStr">
        <is>
          <t>redirect=true 가 아닌 경우 그대로 표시 또는 routerGuard 에 따라 /로 이동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/>
      <c r="K3" s="8" t="inlineStr"/>
      <c r="L3" s="8" t="inlineStr">
        <is>
          <t>2026-05-12 15:34:03</t>
        </is>
      </c>
      <c r="M3" s="8" t="inlineStr"/>
    </row>
    <row r="4" ht="36" customHeight="1">
      <c r="A4" s="8" t="inlineStr">
        <is>
          <t>DU-001-03</t>
        </is>
      </c>
      <c r="B4" s="8" t="inlineStr">
        <is>
          <t>DU_Home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15:34:03</t>
        </is>
      </c>
      <c r="M4" s="8" t="inlineStr"/>
    </row>
    <row r="5" ht="36" customHeight="1">
      <c r="A5" s="8" t="inlineStr">
        <is>
          <t>DU-001-06</t>
        </is>
      </c>
      <c r="B5" s="8" t="inlineStr">
        <is>
          <t>DU_Home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15:34:03</t>
        </is>
      </c>
      <c r="M5" s="8" t="inlineStr">
        <is>
          <t>tools/ui_e2e/screenshots/full/DU_DU_Home.png</t>
        </is>
      </c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DU-003-01</t>
        </is>
      </c>
      <c r="B2" s="8" t="inlineStr">
        <is>
          <t>DU_Login</t>
        </is>
      </c>
      <c r="C2" s="8" t="inlineStr">
        <is>
          <t>화면 진입 (anonymous)</t>
        </is>
      </c>
      <c r="D2" s="8" t="inlineStr">
        <is>
          <t>(미로그인) anonymous</t>
        </is>
      </c>
      <c r="E2" s="8" t="inlineStr">
        <is>
          <t>GET /login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duration=1276ms | final=http://192.168.10.39:8041/login</t>
        </is>
      </c>
      <c r="K2" s="8" t="inlineStr"/>
      <c r="L2" s="8" t="inlineStr">
        <is>
          <t>2026-05-12 15:34:06</t>
        </is>
      </c>
      <c r="M2" s="8" t="inlineStr">
        <is>
          <t>tools/ui_e2e/screenshots/full/DU_DU_Login.png</t>
        </is>
      </c>
    </row>
    <row r="3" ht="36" customHeight="1">
      <c r="A3" s="8" t="inlineStr">
        <is>
          <t>DU-003-02</t>
        </is>
      </c>
      <c r="B3" s="8" t="inlineStr">
        <is>
          <t>DU_Login</t>
        </is>
      </c>
      <c r="C3" s="8" t="inlineStr">
        <is>
          <t>권한 분기 (admin 진입도 허용)</t>
        </is>
      </c>
      <c r="D3" s="8" t="inlineStr">
        <is>
          <t>(admin 로그인 상태)</t>
        </is>
      </c>
      <c r="E3" s="8" t="inlineStr">
        <is>
          <t>GET /login</t>
        </is>
      </c>
      <c r="F3" s="8" t="inlineStr">
        <is>
          <t>redirect=true 가 아닌 경우 그대로 표시 또는 routerGuard 에 따라 /로 이동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/>
      <c r="K3" s="8" t="inlineStr"/>
      <c r="L3" s="8" t="inlineStr">
        <is>
          <t>2026-05-12 15:34:06</t>
        </is>
      </c>
      <c r="M3" s="8" t="inlineStr"/>
    </row>
    <row r="4" ht="36" customHeight="1">
      <c r="A4" s="8" t="inlineStr">
        <is>
          <t>DU-003-03</t>
        </is>
      </c>
      <c r="B4" s="8" t="inlineStr">
        <is>
          <t>DU_Login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15:34:06</t>
        </is>
      </c>
      <c r="M4" s="8" t="inlineStr"/>
    </row>
    <row r="5" ht="36" customHeight="1">
      <c r="A5" s="8" t="inlineStr">
        <is>
          <t>DU-003-06</t>
        </is>
      </c>
      <c r="B5" s="8" t="inlineStr">
        <is>
          <t>DU_Login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15:34:06</t>
        </is>
      </c>
      <c r="M5" s="8" t="inlineStr">
        <is>
          <t>tools/ui_e2e/screenshots/full/DU_DU_Login.png</t>
        </is>
      </c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DU-023-01</t>
        </is>
      </c>
      <c r="B2" s="8" t="inlineStr">
        <is>
          <t>DU_MyDocuments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/my-documents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DU-023-02</t>
        </is>
      </c>
      <c r="B3" s="8" t="inlineStr">
        <is>
          <t>DU_MyDocuments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/my-documents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DU-023-03</t>
        </is>
      </c>
      <c r="B4" s="8" t="inlineStr">
        <is>
          <t>DU_MyDocuments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DU-023-06</t>
        </is>
      </c>
      <c r="B5" s="8" t="inlineStr">
        <is>
          <t>DU_MyDocuments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DU-002-01</t>
        </is>
      </c>
      <c r="B2" s="8" t="inlineStr">
        <is>
          <t>DU_PreviewHost</t>
        </is>
      </c>
      <c r="C2" s="8" t="inlineStr">
        <is>
          <t>화면 진입 (anonymous)</t>
        </is>
      </c>
      <c r="D2" s="8" t="inlineStr">
        <is>
          <t>(미로그인) anonymous</t>
        </is>
      </c>
      <c r="E2" s="8" t="inlineStr">
        <is>
          <t>GET /preview-host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duration=1268ms | final=http://192.168.10.39:8041/preview-host</t>
        </is>
      </c>
      <c r="K2" s="8" t="inlineStr"/>
      <c r="L2" s="8" t="inlineStr">
        <is>
          <t>2026-05-12 15:34:05</t>
        </is>
      </c>
      <c r="M2" s="8" t="inlineStr">
        <is>
          <t>tools/ui_e2e/screenshots/full/DU_DU_PreviewHost.png</t>
        </is>
      </c>
    </row>
    <row r="3" ht="36" customHeight="1">
      <c r="A3" s="8" t="inlineStr">
        <is>
          <t>DU-002-02</t>
        </is>
      </c>
      <c r="B3" s="8" t="inlineStr">
        <is>
          <t>DU_PreviewHost</t>
        </is>
      </c>
      <c r="C3" s="8" t="inlineStr">
        <is>
          <t>권한 분기 (admin 진입도 허용)</t>
        </is>
      </c>
      <c r="D3" s="8" t="inlineStr">
        <is>
          <t>(admin 로그인 상태)</t>
        </is>
      </c>
      <c r="E3" s="8" t="inlineStr">
        <is>
          <t>GET /preview-host</t>
        </is>
      </c>
      <c r="F3" s="8" t="inlineStr">
        <is>
          <t>redirect=true 가 아닌 경우 그대로 표시 또는 routerGuard 에 따라 /로 이동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/>
      <c r="K3" s="8" t="inlineStr"/>
      <c r="L3" s="8" t="inlineStr">
        <is>
          <t>2026-05-12 15:34:05</t>
        </is>
      </c>
      <c r="M3" s="8" t="inlineStr"/>
    </row>
    <row r="4" ht="36" customHeight="1">
      <c r="A4" s="8" t="inlineStr">
        <is>
          <t>DU-002-03</t>
        </is>
      </c>
      <c r="B4" s="8" t="inlineStr">
        <is>
          <t>DU_PreviewHost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15:34:05</t>
        </is>
      </c>
      <c r="M4" s="8" t="inlineStr"/>
    </row>
    <row r="5" ht="36" customHeight="1">
      <c r="A5" s="8" t="inlineStr">
        <is>
          <t>DU-002-06</t>
        </is>
      </c>
      <c r="B5" s="8" t="inlineStr">
        <is>
          <t>DU_PreviewHost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15:34:05</t>
        </is>
      </c>
      <c r="M5" s="8" t="inlineStr">
        <is>
          <t>tools/ui_e2e/screenshots/full/DU_DU_PreviewHost.png</t>
        </is>
      </c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DU-012-01</t>
        </is>
      </c>
      <c r="B2" s="8" t="inlineStr">
        <is>
          <t>DU_Projects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/projects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DU-012-02</t>
        </is>
      </c>
      <c r="B3" s="8" t="inlineStr">
        <is>
          <t>DU_Projects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/projects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DU-012-03</t>
        </is>
      </c>
      <c r="B4" s="8" t="inlineStr">
        <is>
          <t>DU_Projects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DU-012-06</t>
        </is>
      </c>
      <c r="B5" s="8" t="inlineStr">
        <is>
          <t>DU_Projects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DU-013-01</t>
        </is>
      </c>
      <c r="B2" s="8" t="inlineStr">
        <is>
          <t>DU_QuickGuide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/quick-guide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DU-013-02</t>
        </is>
      </c>
      <c r="B3" s="8" t="inlineStr">
        <is>
          <t>DU_QuickGuide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/quick-guide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DU-013-03</t>
        </is>
      </c>
      <c r="B4" s="8" t="inlineStr">
        <is>
          <t>DU_QuickGuide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DU-013-06</t>
        </is>
      </c>
      <c r="B5" s="8" t="inlineStr">
        <is>
          <t>DU_QuickGuide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DU-014-01</t>
        </is>
      </c>
      <c r="B2" s="8" t="inlineStr">
        <is>
          <t>DU_Quotas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/quotas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DU-014-02</t>
        </is>
      </c>
      <c r="B3" s="8" t="inlineStr">
        <is>
          <t>DU_Quotas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/quotas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DU-014-03</t>
        </is>
      </c>
      <c r="B4" s="8" t="inlineStr">
        <is>
          <t>DU_Quotas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DU-014-06</t>
        </is>
      </c>
      <c r="B5" s="8" t="inlineStr">
        <is>
          <t>DU_Quotas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DU-024-01</t>
        </is>
      </c>
      <c r="B2" s="8" t="inlineStr">
        <is>
          <t>DU_Reports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/reports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DU-024-02</t>
        </is>
      </c>
      <c r="B3" s="8" t="inlineStr">
        <is>
          <t>DU_Reports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/reports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DU-024-03</t>
        </is>
      </c>
      <c r="B4" s="8" t="inlineStr">
        <is>
          <t>DU_Reports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DU-024-06</t>
        </is>
      </c>
      <c r="B5" s="8" t="inlineStr">
        <is>
          <t>DU_Reports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DU-025-01</t>
        </is>
      </c>
      <c r="B2" s="8" t="inlineStr">
        <is>
          <t>DU_Search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/search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DU-025-02</t>
        </is>
      </c>
      <c r="B3" s="8" t="inlineStr">
        <is>
          <t>DU_Search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/search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DU-025-03</t>
        </is>
      </c>
      <c r="B4" s="8" t="inlineStr">
        <is>
          <t>DU_Search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DU-025-06</t>
        </is>
      </c>
      <c r="B5" s="8" t="inlineStr">
        <is>
          <t>DU_Search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DU-015-01</t>
        </is>
      </c>
      <c r="B2" s="8" t="inlineStr">
        <is>
          <t>DU_SearchScopes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/search-scopes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DU-015-02</t>
        </is>
      </c>
      <c r="B3" s="8" t="inlineStr">
        <is>
          <t>DU_SearchScopes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/search-scopes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DU-015-03</t>
        </is>
      </c>
      <c r="B4" s="8" t="inlineStr">
        <is>
          <t>DU_SearchScopes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DU-015-06</t>
        </is>
      </c>
      <c r="B5" s="8" t="inlineStr">
        <is>
          <t>DU_SearchScopes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DU-016-01</t>
        </is>
      </c>
      <c r="B2" s="8" t="inlineStr">
        <is>
          <t>DU_SearchTest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/search-test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DU-016-02</t>
        </is>
      </c>
      <c r="B3" s="8" t="inlineStr">
        <is>
          <t>DU_SearchTest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/search-test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DU-016-03</t>
        </is>
      </c>
      <c r="B4" s="8" t="inlineStr">
        <is>
          <t>DU_SearchTest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DU-016-06</t>
        </is>
      </c>
      <c r="B5" s="8" t="inlineStr">
        <is>
          <t>DU_SearchTest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DU-017-01</t>
        </is>
      </c>
      <c r="B2" s="8" t="inlineStr">
        <is>
          <t>DU_Settings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/settings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DU-017-02</t>
        </is>
      </c>
      <c r="B3" s="8" t="inlineStr">
        <is>
          <t>DU_Settings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/settings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DU-017-03</t>
        </is>
      </c>
      <c r="B4" s="8" t="inlineStr">
        <is>
          <t>DU_Settings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DU-017-06</t>
        </is>
      </c>
      <c r="B5" s="8" t="inlineStr">
        <is>
          <t>DU_Settings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DU-018-01</t>
        </is>
      </c>
      <c r="B2" s="8" t="inlineStr">
        <is>
          <t>DU_Templates</t>
        </is>
      </c>
      <c r="C2" s="8" t="inlineStr">
        <is>
          <t>화면 진입 (인증 의존 — DocUtil 자격증명 미확보)</t>
        </is>
      </c>
      <c r="D2" s="8" t="inlineStr">
        <is>
          <t>DocUtil 운영자 자격증명 미확보</t>
        </is>
      </c>
      <c r="E2" s="8" t="inlineStr">
        <is>
          <t>GET /templates</t>
        </is>
      </c>
      <c r="F2" s="8" t="inlineStr">
        <is>
          <t>로그인 페이지로 리다이렉트 또는 DocUtil 자격증명 확보 후 재진행</t>
        </is>
      </c>
      <c r="G2" s="8" t="inlineStr">
        <is>
          <t>safe</t>
        </is>
      </c>
      <c r="H2" s="8" t="inlineStr">
        <is>
          <t>skip</t>
        </is>
      </c>
      <c r="I2" s="8" t="inlineStr">
        <is>
          <t>SKIP</t>
        </is>
      </c>
      <c r="J2" s="8" t="inlineStr">
        <is>
          <t>DOM mounted=None | duration=Nonems | final=</t>
        </is>
      </c>
      <c r="K2" s="8" t="inlineStr">
        <is>
          <t>DocUtil 자격증명 제공 시 진행 분기</t>
        </is>
      </c>
      <c r="L2" s="8" t="inlineStr"/>
      <c r="M2" s="8" t="inlineStr"/>
    </row>
    <row r="3" ht="36" customHeight="1">
      <c r="A3" s="8" t="inlineStr">
        <is>
          <t>DU-018-02</t>
        </is>
      </c>
      <c r="B3" s="8" t="inlineStr">
        <is>
          <t>DU_Templates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/templates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SKIP</t>
        </is>
      </c>
      <c r="J3" s="8" t="inlineStr"/>
      <c r="K3" s="8" t="inlineStr">
        <is>
          <t>DocUtil 자격증명 미확보 — 트랙 #75 시나리오 4 참조</t>
        </is>
      </c>
      <c r="L3" s="8" t="inlineStr"/>
      <c r="M3" s="8" t="inlineStr"/>
    </row>
    <row r="4" ht="36" customHeight="1">
      <c r="A4" s="8" t="inlineStr">
        <is>
          <t>DU-018-03</t>
        </is>
      </c>
      <c r="B4" s="8" t="inlineStr">
        <is>
          <t>DU_Templates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SKIP</t>
        </is>
      </c>
      <c r="J4" s="8" t="inlineStr"/>
      <c r="K4" s="8" t="inlineStr">
        <is>
          <t>DocUtil 자격증명 미확보 — 트랙 #75 시나리오 4 참조</t>
        </is>
      </c>
      <c r="L4" s="8" t="inlineStr"/>
      <c r="M4" s="8" t="inlineStr"/>
    </row>
    <row r="5" ht="36" customHeight="1">
      <c r="A5" s="8" t="inlineStr">
        <is>
          <t>DU-018-06</t>
        </is>
      </c>
      <c r="B5" s="8" t="inlineStr">
        <is>
          <t>DU_Templates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SKIP</t>
        </is>
      </c>
      <c r="J5" s="8" t="inlineStr"/>
      <c r="K5" s="8" t="inlineStr">
        <is>
          <t>DocUtil 자격증명 미확보 — 트랙 #75 시나리오 4 참조</t>
        </is>
      </c>
      <c r="L5" s="8" t="inlineStr"/>
      <c r="M5" s="8" t="inlineStr"/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AH-010-01</t>
        </is>
      </c>
      <c r="B2" s="8" t="inlineStr">
        <is>
          <t>Dashboard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FAIL</t>
        </is>
      </c>
      <c r="J2" s="8" t="inlineStr">
        <is>
          <t>DOM mounted=True | duration=2079ms | final=http://192.168.10.39:64005/ | net_issues=2: [{'url': 'http://192.168.10.39:64005/api/analytics/dashboard', 'status': 500}, {'url': 'http://192.168.10.39:64005/api/analytics/usage-history?startDate=2026-05-05T06:32:26.335Z&amp;endDate=2026-05-12T06:32:26.33', 'status': 500}] | console_errors=2: ['Error loading dashboard stats: y']</t>
        </is>
      </c>
      <c r="K2" s="8" t="inlineStr">
        <is>
          <t>운영 백엔드 결함: 500 http://192.168.10.39:64005/api/analytics/dashboard / 운영 백엔드 결함: 500 http://192.168.10.39:64005/api/analytics/usage-history?startDate=2026-05-05T06:3</t>
        </is>
      </c>
      <c r="L2" s="8" t="inlineStr">
        <is>
          <t>2026-05-12 15:32:25</t>
        </is>
      </c>
      <c r="M2" s="8" t="inlineStr">
        <is>
          <t>tools/ui_e2e/screenshots/full/AH_PROT_Dashboard.png</t>
        </is>
      </c>
    </row>
    <row r="3" ht="36" customHeight="1">
      <c r="A3" s="8" t="inlineStr">
        <is>
          <t>AH-010-02</t>
        </is>
      </c>
      <c r="B3" s="8" t="inlineStr">
        <is>
          <t>Dashboard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final=http://192.168.10.39:64005/landing (redirected to http://192.168.10.39:64005/landing)</t>
        </is>
      </c>
      <c r="K3" s="8" t="inlineStr"/>
      <c r="L3" s="8" t="inlineStr">
        <is>
          <t>2026-05-12 15:33:53</t>
        </is>
      </c>
      <c r="M3" s="8" t="inlineStr"/>
    </row>
    <row r="4" ht="36" customHeight="1">
      <c r="A4" s="8" t="inlineStr">
        <is>
          <t>AH-010-03</t>
        </is>
      </c>
      <c r="B4" s="8" t="inlineStr">
        <is>
          <t>Dashboard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FAIL</t>
        </is>
      </c>
      <c r="J4" s="8" t="inlineStr"/>
      <c r="K4" s="8" t="inlineStr">
        <is>
          <t>운영 백엔드 결함: 500 http://192.168.10.39:64005/api/analytics/dashboard</t>
        </is>
      </c>
      <c r="L4" s="8" t="inlineStr">
        <is>
          <t>2026-05-12 15:32:25</t>
        </is>
      </c>
      <c r="M4" s="8" t="inlineStr"/>
    </row>
    <row r="5" ht="36" customHeight="1">
      <c r="A5" s="8" t="inlineStr">
        <is>
          <t>AH-010-04</t>
        </is>
      </c>
      <c r="B5" s="8" t="inlineStr">
        <is>
          <t>Dashboard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FAIL</t>
        </is>
      </c>
      <c r="J5" s="8" t="inlineStr"/>
      <c r="K5" s="8" t="inlineStr">
        <is>
          <t>운영 백엔드 결함: 500 http://192.168.10.39:64005/api/analytics/dashboard</t>
        </is>
      </c>
      <c r="L5" s="8" t="inlineStr">
        <is>
          <t>2026-05-12 15:32:25</t>
        </is>
      </c>
      <c r="M5" s="8" t="inlineStr"/>
    </row>
    <row r="6" ht="36" customHeight="1">
      <c r="A6" s="8" t="inlineStr">
        <is>
          <t>AH-010-05</t>
        </is>
      </c>
      <c r="B6" s="8" t="inlineStr">
        <is>
          <t>Dashboard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15:32:25</t>
        </is>
      </c>
      <c r="M6" s="8" t="inlineStr"/>
    </row>
    <row r="7" ht="36" customHeight="1">
      <c r="A7" s="8" t="inlineStr">
        <is>
          <t>AH-010-06</t>
        </is>
      </c>
      <c r="B7" s="8" t="inlineStr">
        <is>
          <t>Dashboard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15:32:25</t>
        </is>
      </c>
      <c r="M7" s="8" t="inlineStr">
        <is>
          <t>tools/ui_e2e/screenshots/full/AH_PROT_Dashboard.png</t>
        </is>
      </c>
    </row>
    <row r="8" ht="36" customHeight="1">
      <c r="A8" s="8" t="inlineStr">
        <is>
          <t>AH-SP-010</t>
        </is>
      </c>
      <c r="B8" s="8" t="inlineStr">
        <is>
          <t>대시보드</t>
        </is>
      </c>
      <c r="C8" s="8" t="inlineStr">
        <is>
          <t>주요 카드/차트 렌더링</t>
        </is>
      </c>
      <c r="D8" s="8" t="inlineStr">
        <is>
          <t>(admin 로그인)</t>
        </is>
      </c>
      <c r="E8" s="8" t="inlineStr">
        <is>
          <t>/ 진입</t>
        </is>
      </c>
      <c r="F8" s="8" t="inlineStr">
        <is>
          <t>사용량/에이전트수/비용 등 카드 4+ 렌더, 차트 1+ 렌더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FAIL</t>
        </is>
      </c>
      <c r="J8" s="8" t="inlineStr"/>
      <c r="K8" s="8" t="inlineStr">
        <is>
          <t>[라이브 라우트 결과 인용] Dashboard: FAIL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AH-048-01</t>
        </is>
      </c>
      <c r="B2" s="8" t="inlineStr">
        <is>
          <t>DatabaseBackup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/database-backup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duration=1795ms | final=http://192.168.10.39:64005/database-backup</t>
        </is>
      </c>
      <c r="K2" s="8" t="inlineStr"/>
      <c r="L2" s="8" t="inlineStr">
        <is>
          <t>2026-05-12 15:33:36</t>
        </is>
      </c>
      <c r="M2" s="8" t="inlineStr">
        <is>
          <t>tools/ui_e2e/screenshots/full/AH_PROT_DatabaseBackup.png</t>
        </is>
      </c>
    </row>
    <row r="3" ht="36" customHeight="1">
      <c r="A3" s="8" t="inlineStr">
        <is>
          <t>AH-048-02</t>
        </is>
      </c>
      <c r="B3" s="8" t="inlineStr">
        <is>
          <t>DatabaseBackup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/database-backup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final=http://192.168.10.39:64005/login?redirect=/database-backup</t>
        </is>
      </c>
      <c r="K3" s="8" t="inlineStr">
        <is>
          <t>final=http://192.168.10.39:64005/login?redirect=/database-backup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AH-048-03</t>
        </is>
      </c>
      <c r="B4" s="8" t="inlineStr">
        <is>
          <t>DatabaseBackup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15:33:36</t>
        </is>
      </c>
      <c r="M4" s="8" t="inlineStr"/>
    </row>
    <row r="5" ht="36" customHeight="1">
      <c r="A5" s="8" t="inlineStr">
        <is>
          <t>AH-048-04</t>
        </is>
      </c>
      <c r="B5" s="8" t="inlineStr">
        <is>
          <t>DatabaseBackup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15:33:36</t>
        </is>
      </c>
      <c r="M5" s="8" t="inlineStr"/>
    </row>
    <row r="6" ht="36" customHeight="1">
      <c r="A6" s="8" t="inlineStr">
        <is>
          <t>AH-048-05</t>
        </is>
      </c>
      <c r="B6" s="8" t="inlineStr">
        <is>
          <t>DatabaseBackup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15:33:36</t>
        </is>
      </c>
      <c r="M6" s="8" t="inlineStr"/>
    </row>
    <row r="7" ht="36" customHeight="1">
      <c r="A7" s="8" t="inlineStr">
        <is>
          <t>AH-048-06</t>
        </is>
      </c>
      <c r="B7" s="8" t="inlineStr">
        <is>
          <t>DatabaseBackup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15:33:36</t>
        </is>
      </c>
      <c r="M7" s="8" t="inlineStr">
        <is>
          <t>tools/ui_e2e/screenshots/full/AH_PROT_DatabaseBackup.png</t>
        </is>
      </c>
    </row>
    <row r="8" ht="36" customHeight="1">
      <c r="A8" s="8" t="inlineStr">
        <is>
          <t>AH-SP-063</t>
        </is>
      </c>
      <c r="B8" s="8" t="inlineStr">
        <is>
          <t>DB 백업</t>
        </is>
      </c>
      <c r="C8" s="8" t="inlineStr">
        <is>
          <t>백업 목록 표시 (실행 안 함)</t>
        </is>
      </c>
      <c r="D8" s="8" t="inlineStr">
        <is>
          <t>(admin 로그인)</t>
        </is>
      </c>
      <c r="E8" s="8" t="inlineStr">
        <is>
          <t>/database-backup 진입</t>
        </is>
      </c>
      <c r="F8" s="8" t="inlineStr">
        <is>
          <t>백업 이력 + 백업 트리거 버튼 가시 (클릭하지 않음)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DatabaseBackup: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AH-003-01</t>
        </is>
      </c>
      <c r="B2" s="8" t="inlineStr">
        <is>
          <t>ForgotPassword</t>
        </is>
      </c>
      <c r="C2" s="8" t="inlineStr">
        <is>
          <t>화면 진입 (anonymous)</t>
        </is>
      </c>
      <c r="D2" s="8" t="inlineStr">
        <is>
          <t>(미로그인) anonymous</t>
        </is>
      </c>
      <c r="E2" s="8" t="inlineStr">
        <is>
          <t>GET /forgot-password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duration=1797ms | final=http://192.168.10.39:64005/forgot-password</t>
        </is>
      </c>
      <c r="K2" s="8" t="inlineStr"/>
      <c r="L2" s="8" t="inlineStr">
        <is>
          <t>2026-05-12 15:32:13</t>
        </is>
      </c>
      <c r="M2" s="8" t="inlineStr">
        <is>
          <t>tools/ui_e2e/screenshots/full/AH_PUB_ForgotPassword.png</t>
        </is>
      </c>
    </row>
    <row r="3" ht="36" customHeight="1">
      <c r="A3" s="8" t="inlineStr">
        <is>
          <t>AH-003-02</t>
        </is>
      </c>
      <c r="B3" s="8" t="inlineStr">
        <is>
          <t>ForgotPassword</t>
        </is>
      </c>
      <c r="C3" s="8" t="inlineStr">
        <is>
          <t>권한 분기 (admin 진입도 허용)</t>
        </is>
      </c>
      <c r="D3" s="8" t="inlineStr">
        <is>
          <t>(admin 로그인 상태)</t>
        </is>
      </c>
      <c r="E3" s="8" t="inlineStr">
        <is>
          <t>GET /forgot-password</t>
        </is>
      </c>
      <c r="F3" s="8" t="inlineStr">
        <is>
          <t>redirect=true 가 아닌 경우 그대로 표시 또는 routerGuard 에 따라 /로 이동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/>
      <c r="K3" s="8" t="inlineStr"/>
      <c r="L3" s="8" t="inlineStr">
        <is>
          <t>2026-05-12 15:32:13</t>
        </is>
      </c>
      <c r="M3" s="8" t="inlineStr"/>
    </row>
    <row r="4" ht="36" customHeight="1">
      <c r="A4" s="8" t="inlineStr">
        <is>
          <t>AH-003-03</t>
        </is>
      </c>
      <c r="B4" s="8" t="inlineStr">
        <is>
          <t>ForgotPassword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15:32:13</t>
        </is>
      </c>
      <c r="M4" s="8" t="inlineStr"/>
    </row>
    <row r="5" ht="36" customHeight="1">
      <c r="A5" s="8" t="inlineStr">
        <is>
          <t>AH-003-06</t>
        </is>
      </c>
      <c r="B5" s="8" t="inlineStr">
        <is>
          <t>ForgotPassword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15:32:13</t>
        </is>
      </c>
      <c r="M5" s="8" t="inlineStr">
        <is>
          <t>tools/ui_e2e/screenshots/full/AH_PUB_ForgotPassword.png</t>
        </is>
      </c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AH-024-01</t>
        </is>
      </c>
      <c r="B2" s="8" t="inlineStr">
        <is>
          <t>Help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/help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duration=1803ms | final=http://192.168.10.39:64005/help</t>
        </is>
      </c>
      <c r="K2" s="8" t="inlineStr"/>
      <c r="L2" s="8" t="inlineStr">
        <is>
          <t>2026-05-12 15:32:52</t>
        </is>
      </c>
      <c r="M2" s="8" t="inlineStr">
        <is>
          <t>tools/ui_e2e/screenshots/full/AH_PROT_Help.png</t>
        </is>
      </c>
    </row>
    <row r="3" ht="36" customHeight="1">
      <c r="A3" s="8" t="inlineStr">
        <is>
          <t>AH-024-02</t>
        </is>
      </c>
      <c r="B3" s="8" t="inlineStr">
        <is>
          <t>Help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/help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final=http://192.168.10.39:64005/login?redirect=/help</t>
        </is>
      </c>
      <c r="K3" s="8" t="inlineStr">
        <is>
          <t>final=http://192.168.10.39:64005/login?redirect=/help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AH-024-03</t>
        </is>
      </c>
      <c r="B4" s="8" t="inlineStr">
        <is>
          <t>Help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15:32:52</t>
        </is>
      </c>
      <c r="M4" s="8" t="inlineStr"/>
    </row>
    <row r="5" ht="36" customHeight="1">
      <c r="A5" s="8" t="inlineStr">
        <is>
          <t>AH-024-04</t>
        </is>
      </c>
      <c r="B5" s="8" t="inlineStr">
        <is>
          <t>Help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15:32:52</t>
        </is>
      </c>
      <c r="M5" s="8" t="inlineStr"/>
    </row>
    <row r="6" ht="36" customHeight="1">
      <c r="A6" s="8" t="inlineStr">
        <is>
          <t>AH-024-05</t>
        </is>
      </c>
      <c r="B6" s="8" t="inlineStr">
        <is>
          <t>Help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15:32:52</t>
        </is>
      </c>
      <c r="M6" s="8" t="inlineStr"/>
    </row>
    <row r="7" ht="36" customHeight="1">
      <c r="A7" s="8" t="inlineStr">
        <is>
          <t>AH-024-06</t>
        </is>
      </c>
      <c r="B7" s="8" t="inlineStr">
        <is>
          <t>Help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15:32:52</t>
        </is>
      </c>
      <c r="M7" s="8" t="inlineStr">
        <is>
          <t>tools/ui_e2e/screenshots/full/AH_PROT_Help.png</t>
        </is>
      </c>
    </row>
    <row r="8" ht="36" customHeight="1">
      <c r="A8" s="8" t="inlineStr">
        <is>
          <t>AH-SP-073</t>
        </is>
      </c>
      <c r="B8" s="8" t="inlineStr">
        <is>
          <t>도움말</t>
        </is>
      </c>
      <c r="C8" s="8" t="inlineStr">
        <is>
          <t>도움말 페이지 콘텐츠 표시</t>
        </is>
      </c>
      <c r="D8" s="8" t="inlineStr">
        <is>
          <t>(admin 로그인)</t>
        </is>
      </c>
      <c r="E8" s="8" t="inlineStr">
        <is>
          <t>/help 진입</t>
        </is>
      </c>
      <c r="F8" s="8" t="inlineStr">
        <is>
          <t>도움말 섹션 렌더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Help: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AH-050-01</t>
        </is>
      </c>
      <c r="B2" s="8" t="inlineStr">
        <is>
          <t>ImageGeneration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/image-generation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duration=1798ms | final=http://192.168.10.39:64005/image-generation</t>
        </is>
      </c>
      <c r="K2" s="8" t="inlineStr"/>
      <c r="L2" s="8" t="inlineStr">
        <is>
          <t>2026-05-12 15:33:39</t>
        </is>
      </c>
      <c r="M2" s="8" t="inlineStr">
        <is>
          <t>tools/ui_e2e/screenshots/full/AH_PROT_ImageGeneration.png</t>
        </is>
      </c>
    </row>
    <row r="3" ht="36" customHeight="1">
      <c r="A3" s="8" t="inlineStr">
        <is>
          <t>AH-050-02</t>
        </is>
      </c>
      <c r="B3" s="8" t="inlineStr">
        <is>
          <t>ImageGeneration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/image-generation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final=http://192.168.10.39:64005/login?redirect=/image-generation</t>
        </is>
      </c>
      <c r="K3" s="8" t="inlineStr">
        <is>
          <t>final=http://192.168.10.39:64005/login?redirect=/image-generation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AH-050-03</t>
        </is>
      </c>
      <c r="B4" s="8" t="inlineStr">
        <is>
          <t>ImageGeneration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15:33:39</t>
        </is>
      </c>
      <c r="M4" s="8" t="inlineStr"/>
    </row>
    <row r="5" ht="36" customHeight="1">
      <c r="A5" s="8" t="inlineStr">
        <is>
          <t>AH-050-04</t>
        </is>
      </c>
      <c r="B5" s="8" t="inlineStr">
        <is>
          <t>ImageGeneration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15:33:39</t>
        </is>
      </c>
      <c r="M5" s="8" t="inlineStr"/>
    </row>
    <row r="6" ht="36" customHeight="1">
      <c r="A6" s="8" t="inlineStr">
        <is>
          <t>AH-050-05</t>
        </is>
      </c>
      <c r="B6" s="8" t="inlineStr">
        <is>
          <t>ImageGeneration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15:33:39</t>
        </is>
      </c>
      <c r="M6" s="8" t="inlineStr"/>
    </row>
    <row r="7" ht="36" customHeight="1">
      <c r="A7" s="8" t="inlineStr">
        <is>
          <t>AH-050-06</t>
        </is>
      </c>
      <c r="B7" s="8" t="inlineStr">
        <is>
          <t>ImageGeneration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15:33:39</t>
        </is>
      </c>
      <c r="M7" s="8" t="inlineStr">
        <is>
          <t>tools/ui_e2e/screenshots/full/AH_PROT_ImageGeneration.png</t>
        </is>
      </c>
    </row>
    <row r="8" ht="36" customHeight="1">
      <c r="A8" s="8" t="inlineStr">
        <is>
          <t>AH-SP-110</t>
        </is>
      </c>
      <c r="B8" s="8" t="inlineStr">
        <is>
          <t>이미지 생성</t>
        </is>
      </c>
      <c r="C8" s="8" t="inlineStr">
        <is>
          <t>이미지 생성 폼 표시 (전송 안 함)</t>
        </is>
      </c>
      <c r="D8" s="8" t="inlineStr">
        <is>
          <t>(admin 로그인)</t>
        </is>
      </c>
      <c r="E8" s="8" t="inlineStr">
        <is>
          <t>/image-generation 진입 — 폼 확인만</t>
        </is>
      </c>
      <c r="F8" s="8" t="inlineStr">
        <is>
          <t>프롬프트 입력 + 모델 선택 가시, 생성 클릭 안 함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ImageGeneration: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AH-002-01</t>
        </is>
      </c>
      <c r="B2" s="8" t="inlineStr">
        <is>
          <t>Landing</t>
        </is>
      </c>
      <c r="C2" s="8" t="inlineStr">
        <is>
          <t>화면 진입 (anonymous)</t>
        </is>
      </c>
      <c r="D2" s="8" t="inlineStr">
        <is>
          <t>(미로그인) anonymous</t>
        </is>
      </c>
      <c r="E2" s="8" t="inlineStr">
        <is>
          <t>GET /landing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duration=1846ms | final=http://192.168.10.39:64005/landing</t>
        </is>
      </c>
      <c r="K2" s="8" t="inlineStr"/>
      <c r="L2" s="8" t="inlineStr">
        <is>
          <t>2026-05-12 15:32:11</t>
        </is>
      </c>
      <c r="M2" s="8" t="inlineStr">
        <is>
          <t>tools/ui_e2e/screenshots/full/AH_PUB_Landing.png</t>
        </is>
      </c>
    </row>
    <row r="3" ht="36" customHeight="1">
      <c r="A3" s="8" t="inlineStr">
        <is>
          <t>AH-002-02</t>
        </is>
      </c>
      <c r="B3" s="8" t="inlineStr">
        <is>
          <t>Landing</t>
        </is>
      </c>
      <c r="C3" s="8" t="inlineStr">
        <is>
          <t>권한 분기 (admin 진입도 허용)</t>
        </is>
      </c>
      <c r="D3" s="8" t="inlineStr">
        <is>
          <t>(admin 로그인 상태)</t>
        </is>
      </c>
      <c r="E3" s="8" t="inlineStr">
        <is>
          <t>GET /landing</t>
        </is>
      </c>
      <c r="F3" s="8" t="inlineStr">
        <is>
          <t>redirect=true 가 아닌 경우 그대로 표시 또는 routerGuard 에 따라 /로 이동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/>
      <c r="K3" s="8" t="inlineStr"/>
      <c r="L3" s="8" t="inlineStr">
        <is>
          <t>2026-05-12 15:32:11</t>
        </is>
      </c>
      <c r="M3" s="8" t="inlineStr"/>
    </row>
    <row r="4" ht="36" customHeight="1">
      <c r="A4" s="8" t="inlineStr">
        <is>
          <t>AH-002-03</t>
        </is>
      </c>
      <c r="B4" s="8" t="inlineStr">
        <is>
          <t>Landing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15:32:11</t>
        </is>
      </c>
      <c r="M4" s="8" t="inlineStr"/>
    </row>
    <row r="5" ht="36" customHeight="1">
      <c r="A5" s="8" t="inlineStr">
        <is>
          <t>AH-002-06</t>
        </is>
      </c>
      <c r="B5" s="8" t="inlineStr">
        <is>
          <t>Landing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15:32:11</t>
        </is>
      </c>
      <c r="M5" s="8" t="inlineStr">
        <is>
          <t>tools/ui_e2e/screenshots/full/AH_PUB_Landing.png</t>
        </is>
      </c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AH-001-01</t>
        </is>
      </c>
      <c r="B2" s="8" t="inlineStr">
        <is>
          <t>Login</t>
        </is>
      </c>
      <c r="C2" s="8" t="inlineStr">
        <is>
          <t>화면 진입 (anonymous)</t>
        </is>
      </c>
      <c r="D2" s="8" t="inlineStr">
        <is>
          <t>(미로그인) anonymous</t>
        </is>
      </c>
      <c r="E2" s="8" t="inlineStr">
        <is>
          <t>GET /login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duration=2169ms | final=http://192.168.10.39:64005/login</t>
        </is>
      </c>
      <c r="K2" s="8" t="inlineStr"/>
      <c r="L2" s="8" t="inlineStr">
        <is>
          <t>2026-05-12 15:32:09</t>
        </is>
      </c>
      <c r="M2" s="8" t="inlineStr">
        <is>
          <t>tools/ui_e2e/screenshots/full/AH_PUB_Login.png</t>
        </is>
      </c>
    </row>
    <row r="3" ht="36" customHeight="1">
      <c r="A3" s="8" t="inlineStr">
        <is>
          <t>AH-001-02</t>
        </is>
      </c>
      <c r="B3" s="8" t="inlineStr">
        <is>
          <t>Login</t>
        </is>
      </c>
      <c r="C3" s="8" t="inlineStr">
        <is>
          <t>권한 분기 (admin 진입도 허용)</t>
        </is>
      </c>
      <c r="D3" s="8" t="inlineStr">
        <is>
          <t>(admin 로그인 상태)</t>
        </is>
      </c>
      <c r="E3" s="8" t="inlineStr">
        <is>
          <t>GET /login</t>
        </is>
      </c>
      <c r="F3" s="8" t="inlineStr">
        <is>
          <t>redirect=true 가 아닌 경우 그대로 표시 또는 routerGuard 에 따라 /로 이동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/>
      <c r="K3" s="8" t="inlineStr"/>
      <c r="L3" s="8" t="inlineStr">
        <is>
          <t>2026-05-12 15:32:09</t>
        </is>
      </c>
      <c r="M3" s="8" t="inlineStr"/>
    </row>
    <row r="4" ht="36" customHeight="1">
      <c r="A4" s="8" t="inlineStr">
        <is>
          <t>AH-001-03</t>
        </is>
      </c>
      <c r="B4" s="8" t="inlineStr">
        <is>
          <t>Login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15:32:09</t>
        </is>
      </c>
      <c r="M4" s="8" t="inlineStr"/>
    </row>
    <row r="5" ht="36" customHeight="1">
      <c r="A5" s="8" t="inlineStr">
        <is>
          <t>AH-001-06</t>
        </is>
      </c>
      <c r="B5" s="8" t="inlineStr">
        <is>
          <t>Login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15:32:09</t>
        </is>
      </c>
      <c r="M5" s="8" t="inlineStr">
        <is>
          <t>tools/ui_e2e/screenshots/full/AH_PUB_Login.png</t>
        </is>
      </c>
    </row>
    <row r="6" ht="36" customHeight="1">
      <c r="A6" s="8" t="inlineStr">
        <is>
          <t>AH-SP-001</t>
        </is>
      </c>
      <c r="B6" s="8" t="inlineStr">
        <is>
          <t>로그인</t>
        </is>
      </c>
      <c r="C6" s="8" t="inlineStr">
        <is>
          <t>잘못된 자격증명 → 에러 표시</t>
        </is>
      </c>
      <c r="D6" s="8" t="inlineStr">
        <is>
          <t>(미로그인)</t>
        </is>
      </c>
      <c r="E6" s="8" t="inlineStr">
        <is>
          <t>email=wrong@test.com / password=wrongpw → 로그인</t>
        </is>
      </c>
      <c r="F6" s="8" t="inlineStr">
        <is>
          <t>400/401 응답 + 한국어 에러 메시지 (예: '이메일 또는 비밀번호가 올바르지 않습니다')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>
        <is>
          <t>로그인 폼 표시 PASS — 잘못된 자격증명 실제 시도는 후속 분기</t>
        </is>
      </c>
      <c r="L6" s="8" t="inlineStr">
        <is>
          <t>2026-05-12</t>
        </is>
      </c>
      <c r="M6" s="8" t="inlineStr"/>
    </row>
    <row r="7" ht="36" customHeight="1">
      <c r="A7" s="8" t="inlineStr">
        <is>
          <t>AH-SP-002</t>
        </is>
      </c>
      <c r="B7" s="8" t="inlineStr">
        <is>
          <t>로그인</t>
        </is>
      </c>
      <c r="C7" s="8" t="inlineStr">
        <is>
          <t>올바른 자격증명 → 대시보드 진입</t>
        </is>
      </c>
      <c r="D7" s="8" t="inlineStr">
        <is>
          <t>(미로그인)</t>
        </is>
      </c>
      <c r="E7" s="8" t="inlineStr">
        <is>
          <t>admin@example.com / Admin123! → 로그인</t>
        </is>
      </c>
      <c r="F7" s="8" t="inlineStr">
        <is>
          <t>200 OK + token 저장 + / 리다이렉트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>
        <is>
          <t>[live] admin@example.com 로그인 → / 리다이렉트 확인 (live_runner.py 1단계)</t>
        </is>
      </c>
      <c r="L7" s="8" t="inlineStr">
        <is>
          <t>2026-05-12</t>
        </is>
      </c>
      <c r="M7" s="8" t="inlineStr"/>
    </row>
    <row r="8" ht="36" customHeight="1">
      <c r="A8" s="8" t="inlineStr">
        <is>
          <t>AH-SP-003</t>
        </is>
      </c>
      <c r="B8" s="8" t="inlineStr">
        <is>
          <t>로그인</t>
        </is>
      </c>
      <c r="C8" s="8" t="inlineStr">
        <is>
          <t>비밀번호 찾기 링크 → /forgot-password 라우팅</t>
        </is>
      </c>
      <c r="D8" s="8" t="inlineStr">
        <is>
          <t>(미로그인 + 로그인 페이지)</t>
        </is>
      </c>
      <c r="E8" s="8" t="inlineStr">
        <is>
          <t>비밀번호 찾기 링크 클릭</t>
        </is>
      </c>
      <c r="F8" s="8" t="inlineStr">
        <is>
          <t>/forgot-password 페이지 진입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비번찾기 링크 → /forgot-password 라우팅 (라우트 PASS로 간접 검증)</t>
        </is>
      </c>
      <c r="L8" s="8" t="inlineStr">
        <is>
          <t>2026-05-12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AH-045-01</t>
        </is>
      </c>
      <c r="B2" s="8" t="inlineStr">
        <is>
          <t>PiiProtection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/pii-protection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FAIL</t>
        </is>
      </c>
      <c r="J2" s="8" t="inlineStr">
        <is>
          <t>DOM mounted=True | duration=1804ms | final=http://192.168.10.39:64005/pii-protection | net_issues=2: [{'url': 'http://192.168.10.39:64005/api/piidetectionlogs?page=1&amp;pageSize=20&amp;startDate=2026-04-12&amp;endDate=2026-05-12', 'status': 500}, {'url': 'http://192.168.10.39:64005/api/piidetectionlogs/statistics?startDate=2026-04-12&amp;endDate=2026-05-12', 'status': 500}] | console_errors=2: ['로그 로드 실패: y']</t>
        </is>
      </c>
      <c r="K2" s="8" t="inlineStr">
        <is>
          <t>운영 백엔드 결함: 500 http://192.168.10.39:64005/api/piidetectionlogs?page=1&amp;pageSize=20&amp;startDate=202 / 운영 백엔드 결함: 500 http://192.168.10.39:64005/api/piidetectionlogs/statistics?startDate=2026-04-12&amp;</t>
        </is>
      </c>
      <c r="L2" s="8" t="inlineStr">
        <is>
          <t>2026-05-12 15:33:30</t>
        </is>
      </c>
      <c r="M2" s="8" t="inlineStr">
        <is>
          <t>tools/ui_e2e/screenshots/full/AH_PROT_PiiProtection.png</t>
        </is>
      </c>
    </row>
    <row r="3" ht="36" customHeight="1">
      <c r="A3" s="8" t="inlineStr">
        <is>
          <t>AH-045-02</t>
        </is>
      </c>
      <c r="B3" s="8" t="inlineStr">
        <is>
          <t>PiiProtection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/pii-protection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final=http://192.168.10.39:64005/login?redirect=/pii-protection</t>
        </is>
      </c>
      <c r="K3" s="8" t="inlineStr">
        <is>
          <t>final=http://192.168.10.39:64005/login?redirect=/pii-protection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AH-045-03</t>
        </is>
      </c>
      <c r="B4" s="8" t="inlineStr">
        <is>
          <t>PiiProtection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FAIL</t>
        </is>
      </c>
      <c r="J4" s="8" t="inlineStr"/>
      <c r="K4" s="8" t="inlineStr">
        <is>
          <t>운영 백엔드 결함: 500 http://192.168.10.39:64005/api/piidetectionlogs?page=1&amp;pageSize=20&amp;startDate=202</t>
        </is>
      </c>
      <c r="L4" s="8" t="inlineStr">
        <is>
          <t>2026-05-12 15:33:30</t>
        </is>
      </c>
      <c r="M4" s="8" t="inlineStr"/>
    </row>
    <row r="5" ht="36" customHeight="1">
      <c r="A5" s="8" t="inlineStr">
        <is>
          <t>AH-045-04</t>
        </is>
      </c>
      <c r="B5" s="8" t="inlineStr">
        <is>
          <t>PiiProtection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FAIL</t>
        </is>
      </c>
      <c r="J5" s="8" t="inlineStr"/>
      <c r="K5" s="8" t="inlineStr">
        <is>
          <t>운영 백엔드 결함: 500 http://192.168.10.39:64005/api/piidetectionlogs?page=1&amp;pageSize=20&amp;startDate=202</t>
        </is>
      </c>
      <c r="L5" s="8" t="inlineStr">
        <is>
          <t>2026-05-12 15:33:30</t>
        </is>
      </c>
      <c r="M5" s="8" t="inlineStr"/>
    </row>
    <row r="6" ht="36" customHeight="1">
      <c r="A6" s="8" t="inlineStr">
        <is>
          <t>AH-045-05</t>
        </is>
      </c>
      <c r="B6" s="8" t="inlineStr">
        <is>
          <t>PiiProtection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15:33:30</t>
        </is>
      </c>
      <c r="M6" s="8" t="inlineStr"/>
    </row>
    <row r="7" ht="36" customHeight="1">
      <c r="A7" s="8" t="inlineStr">
        <is>
          <t>AH-045-06</t>
        </is>
      </c>
      <c r="B7" s="8" t="inlineStr">
        <is>
          <t>PiiProtection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15:33:30</t>
        </is>
      </c>
      <c r="M7" s="8" t="inlineStr">
        <is>
          <t>tools/ui_e2e/screenshots/full/AH_PROT_PiiProtection.png</t>
        </is>
      </c>
    </row>
    <row r="8" ht="36" customHeight="1">
      <c r="A8" s="8" t="inlineStr">
        <is>
          <t>AH-SP-067</t>
        </is>
      </c>
      <c r="B8" s="8" t="inlineStr">
        <is>
          <t>PII 보호</t>
        </is>
      </c>
      <c r="C8" s="8" t="inlineStr">
        <is>
          <t>PII 설정 표시</t>
        </is>
      </c>
      <c r="D8" s="8" t="inlineStr">
        <is>
          <t>(admin 로그인)</t>
        </is>
      </c>
      <c r="E8" s="8" t="inlineStr">
        <is>
          <t>/pii-protection 진입</t>
        </is>
      </c>
      <c r="F8" s="8" t="inlineStr">
        <is>
          <t>PII 정책 폼 가시 (변경 없음)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FAIL</t>
        </is>
      </c>
      <c r="J8" s="8" t="inlineStr"/>
      <c r="K8" s="8" t="inlineStr">
        <is>
          <t>[라이브 라우트 결과 인용] PiiProtection: FAIL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AH-019-01</t>
        </is>
      </c>
      <c r="B2" s="8" t="inlineStr">
        <is>
          <t>Playground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/playground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duration=1793ms | final=http://192.168.10.39:64005/playground</t>
        </is>
      </c>
      <c r="K2" s="8" t="inlineStr"/>
      <c r="L2" s="8" t="inlineStr">
        <is>
          <t>2026-05-12 15:32:43</t>
        </is>
      </c>
      <c r="M2" s="8" t="inlineStr">
        <is>
          <t>tools/ui_e2e/screenshots/full/AH_PROT_Playground.png</t>
        </is>
      </c>
    </row>
    <row r="3" ht="36" customHeight="1">
      <c r="A3" s="8" t="inlineStr">
        <is>
          <t>AH-019-02</t>
        </is>
      </c>
      <c r="B3" s="8" t="inlineStr">
        <is>
          <t>Playground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/playground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final=http://192.168.10.39:64005/login?redirect=/playground</t>
        </is>
      </c>
      <c r="K3" s="8" t="inlineStr">
        <is>
          <t>final=http://192.168.10.39:64005/login?redirect=/playground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AH-019-03</t>
        </is>
      </c>
      <c r="B4" s="8" t="inlineStr">
        <is>
          <t>Playground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15:32:43</t>
        </is>
      </c>
      <c r="M4" s="8" t="inlineStr"/>
    </row>
    <row r="5" ht="36" customHeight="1">
      <c r="A5" s="8" t="inlineStr">
        <is>
          <t>AH-019-04</t>
        </is>
      </c>
      <c r="B5" s="8" t="inlineStr">
        <is>
          <t>Playground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15:32:43</t>
        </is>
      </c>
      <c r="M5" s="8" t="inlineStr"/>
    </row>
    <row r="6" ht="36" customHeight="1">
      <c r="A6" s="8" t="inlineStr">
        <is>
          <t>AH-019-05</t>
        </is>
      </c>
      <c r="B6" s="8" t="inlineStr">
        <is>
          <t>Playground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15:32:43</t>
        </is>
      </c>
      <c r="M6" s="8" t="inlineStr"/>
    </row>
    <row r="7" ht="36" customHeight="1">
      <c r="A7" s="8" t="inlineStr">
        <is>
          <t>AH-019-06</t>
        </is>
      </c>
      <c r="B7" s="8" t="inlineStr">
        <is>
          <t>Playground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15:32:43</t>
        </is>
      </c>
      <c r="M7" s="8" t="inlineStr">
        <is>
          <t>tools/ui_e2e/screenshots/full/AH_PROT_Playground.png</t>
        </is>
      </c>
    </row>
    <row r="8" ht="36" customHeight="1">
      <c r="A8" s="8" t="inlineStr">
        <is>
          <t>AH-SP-080</t>
        </is>
      </c>
      <c r="B8" s="8" t="inlineStr">
        <is>
          <t>Playground</t>
        </is>
      </c>
      <c r="C8" s="8" t="inlineStr">
        <is>
          <t>모델 선택 드롭다운 + 프롬프트 입력 폼 표시 (전송 안 함)</t>
        </is>
      </c>
      <c r="D8" s="8" t="inlineStr">
        <is>
          <t>(admin 로그인)</t>
        </is>
      </c>
      <c r="E8" s="8" t="inlineStr">
        <is>
          <t>/playground 진입 — 모델 선택만, 전송 클릭 안 함</t>
        </is>
      </c>
      <c r="F8" s="8" t="inlineStr">
        <is>
          <t>모델 드롭다운 + 텍스트영역 가시, LLM 호출 발생 안 함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Playground: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AH-052-01</t>
        </is>
      </c>
      <c r="B2" s="8" t="inlineStr">
        <is>
          <t>PresentationBuilder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/presentation-builder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duration=1800ms | final=http://192.168.10.39:64005/presentation-builder</t>
        </is>
      </c>
      <c r="K2" s="8" t="inlineStr"/>
      <c r="L2" s="8" t="inlineStr">
        <is>
          <t>2026-05-12 15:33:43</t>
        </is>
      </c>
      <c r="M2" s="8" t="inlineStr">
        <is>
          <t>tools/ui_e2e/screenshots/full/AH_PROT_PresentationBuilder.png</t>
        </is>
      </c>
    </row>
    <row r="3" ht="36" customHeight="1">
      <c r="A3" s="8" t="inlineStr">
        <is>
          <t>AH-052-02</t>
        </is>
      </c>
      <c r="B3" s="8" t="inlineStr">
        <is>
          <t>PresentationBuilder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/presentation-builder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final=http://192.168.10.39:64005/login?redirect=/presentation-builder</t>
        </is>
      </c>
      <c r="K3" s="8" t="inlineStr">
        <is>
          <t>final=http://192.168.10.39:64005/login?redirect=/presentation-builder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AH-052-03</t>
        </is>
      </c>
      <c r="B4" s="8" t="inlineStr">
        <is>
          <t>PresentationBuilder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15:33:43</t>
        </is>
      </c>
      <c r="M4" s="8" t="inlineStr"/>
    </row>
    <row r="5" ht="36" customHeight="1">
      <c r="A5" s="8" t="inlineStr">
        <is>
          <t>AH-052-04</t>
        </is>
      </c>
      <c r="B5" s="8" t="inlineStr">
        <is>
          <t>PresentationBuilder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15:33:43</t>
        </is>
      </c>
      <c r="M5" s="8" t="inlineStr"/>
    </row>
    <row r="6" ht="36" customHeight="1">
      <c r="A6" s="8" t="inlineStr">
        <is>
          <t>AH-052-05</t>
        </is>
      </c>
      <c r="B6" s="8" t="inlineStr">
        <is>
          <t>PresentationBuilder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15:33:43</t>
        </is>
      </c>
      <c r="M6" s="8" t="inlineStr"/>
    </row>
    <row r="7" ht="36" customHeight="1">
      <c r="A7" s="8" t="inlineStr">
        <is>
          <t>AH-052-06</t>
        </is>
      </c>
      <c r="B7" s="8" t="inlineStr">
        <is>
          <t>PresentationBuilder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15:33:43</t>
        </is>
      </c>
      <c r="M7" s="8" t="inlineStr">
        <is>
          <t>tools/ui_e2e/screenshots/full/AH_PROT_PresentationBuilder.png</t>
        </is>
      </c>
    </row>
    <row r="8" ht="36" customHeight="1">
      <c r="A8" s="8" t="inlineStr">
        <is>
          <t>AH-SP-112</t>
        </is>
      </c>
      <c r="B8" s="8" t="inlineStr">
        <is>
          <t>프레젠테이션 빌더</t>
        </is>
      </c>
      <c r="C8" s="8" t="inlineStr">
        <is>
          <t>프레젠테이션 빌더 마운트</t>
        </is>
      </c>
      <c r="D8" s="8" t="inlineStr">
        <is>
          <t>(admin 로그인)</t>
        </is>
      </c>
      <c r="E8" s="8" t="inlineStr">
        <is>
          <t>/presentation-builder 진입</t>
        </is>
      </c>
      <c r="F8" s="8" t="inlineStr">
        <is>
          <t>빌더 UI 가시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PresentationBuilder: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AH-049-01</t>
        </is>
      </c>
      <c r="B2" s="8" t="inlineStr">
        <is>
          <t>PresentationTemplateManagement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/presentation-templates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duration=1782ms | final=http://192.168.10.39:64005/presentation-templates</t>
        </is>
      </c>
      <c r="K2" s="8" t="inlineStr"/>
      <c r="L2" s="8" t="inlineStr">
        <is>
          <t>2026-05-12 15:33:37</t>
        </is>
      </c>
      <c r="M2" s="8" t="inlineStr">
        <is>
          <t>tools/ui_e2e/screenshots/full/AH_PROT_PresentationTemplateManagement.png</t>
        </is>
      </c>
    </row>
    <row r="3" ht="36" customHeight="1">
      <c r="A3" s="8" t="inlineStr">
        <is>
          <t>AH-049-02</t>
        </is>
      </c>
      <c r="B3" s="8" t="inlineStr">
        <is>
          <t>PresentationTemplateManagement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/presentation-templates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final=http://192.168.10.39:64005/login?redirect=/presentation-templates</t>
        </is>
      </c>
      <c r="K3" s="8" t="inlineStr">
        <is>
          <t>final=http://192.168.10.39:64005/login?redirect=/presentation-templates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AH-049-03</t>
        </is>
      </c>
      <c r="B4" s="8" t="inlineStr">
        <is>
          <t>PresentationTemplateManagement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15:33:37</t>
        </is>
      </c>
      <c r="M4" s="8" t="inlineStr"/>
    </row>
    <row r="5" ht="36" customHeight="1">
      <c r="A5" s="8" t="inlineStr">
        <is>
          <t>AH-049-04</t>
        </is>
      </c>
      <c r="B5" s="8" t="inlineStr">
        <is>
          <t>PresentationTemplateManagement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15:33:37</t>
        </is>
      </c>
      <c r="M5" s="8" t="inlineStr"/>
    </row>
    <row r="6" ht="36" customHeight="1">
      <c r="A6" s="8" t="inlineStr">
        <is>
          <t>AH-049-05</t>
        </is>
      </c>
      <c r="B6" s="8" t="inlineStr">
        <is>
          <t>PresentationTemplateManagement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15:33:37</t>
        </is>
      </c>
      <c r="M6" s="8" t="inlineStr"/>
    </row>
    <row r="7" ht="36" customHeight="1">
      <c r="A7" s="8" t="inlineStr">
        <is>
          <t>AH-049-06</t>
        </is>
      </c>
      <c r="B7" s="8" t="inlineStr">
        <is>
          <t>PresentationTemplateManagement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15:33:37</t>
        </is>
      </c>
      <c r="M7" s="8" t="inlineStr">
        <is>
          <t>tools/ui_e2e/screenshots/full/AH_PROT_PresentationTemplateManagement.png</t>
        </is>
      </c>
    </row>
    <row r="8" ht="36" customHeight="1">
      <c r="A8" s="8" t="inlineStr">
        <is>
          <t>AH-SP-113</t>
        </is>
      </c>
      <c r="B8" s="8" t="inlineStr">
        <is>
          <t>프레젠테이션 템플릿</t>
        </is>
      </c>
      <c r="C8" s="8" t="inlineStr">
        <is>
          <t>템플릿 목록 표시</t>
        </is>
      </c>
      <c r="D8" s="8" t="inlineStr">
        <is>
          <t>(admin 로그인)</t>
        </is>
      </c>
      <c r="E8" s="8" t="inlineStr">
        <is>
          <t>/presentation-templates 진입</t>
        </is>
      </c>
      <c r="F8" s="8" t="inlineStr">
        <is>
          <t>PPTX 템플릿 목록 또는 빈 상태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PresentationTemplateManagement: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AH-006-01</t>
        </is>
      </c>
      <c r="B2" s="8" t="inlineStr">
        <is>
          <t>PrivacyPolicy</t>
        </is>
      </c>
      <c r="C2" s="8" t="inlineStr">
        <is>
          <t>화면 진입 (anonymous)</t>
        </is>
      </c>
      <c r="D2" s="8" t="inlineStr">
        <is>
          <t>(미로그인) anonymous</t>
        </is>
      </c>
      <c r="E2" s="8" t="inlineStr">
        <is>
          <t>GET /privacy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duration=1814ms | final=http://192.168.10.39:64005/privacy</t>
        </is>
      </c>
      <c r="K2" s="8" t="inlineStr"/>
      <c r="L2" s="8" t="inlineStr">
        <is>
          <t>2026-05-12 15:32:18</t>
        </is>
      </c>
      <c r="M2" s="8" t="inlineStr">
        <is>
          <t>tools/ui_e2e/screenshots/full/AH_PUB_PrivacyPolicy.png</t>
        </is>
      </c>
    </row>
    <row r="3" ht="36" customHeight="1">
      <c r="A3" s="8" t="inlineStr">
        <is>
          <t>AH-006-02</t>
        </is>
      </c>
      <c r="B3" s="8" t="inlineStr">
        <is>
          <t>PrivacyPolicy</t>
        </is>
      </c>
      <c r="C3" s="8" t="inlineStr">
        <is>
          <t>권한 분기 (admin 진입도 허용)</t>
        </is>
      </c>
      <c r="D3" s="8" t="inlineStr">
        <is>
          <t>(admin 로그인 상태)</t>
        </is>
      </c>
      <c r="E3" s="8" t="inlineStr">
        <is>
          <t>GET /privacy</t>
        </is>
      </c>
      <c r="F3" s="8" t="inlineStr">
        <is>
          <t>redirect=true 가 아닌 경우 그대로 표시 또는 routerGuard 에 따라 /로 이동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/>
      <c r="K3" s="8" t="inlineStr"/>
      <c r="L3" s="8" t="inlineStr">
        <is>
          <t>2026-05-12 15:32:18</t>
        </is>
      </c>
      <c r="M3" s="8" t="inlineStr"/>
    </row>
    <row r="4" ht="36" customHeight="1">
      <c r="A4" s="8" t="inlineStr">
        <is>
          <t>AH-006-03</t>
        </is>
      </c>
      <c r="B4" s="8" t="inlineStr">
        <is>
          <t>PrivacyPolicy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15:32:18</t>
        </is>
      </c>
      <c r="M4" s="8" t="inlineStr"/>
    </row>
    <row r="5" ht="36" customHeight="1">
      <c r="A5" s="8" t="inlineStr">
        <is>
          <t>AH-006-06</t>
        </is>
      </c>
      <c r="B5" s="8" t="inlineStr">
        <is>
          <t>PrivacyPolicy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15:32:18</t>
        </is>
      </c>
      <c r="M5" s="8" t="inlineStr">
        <is>
          <t>tools/ui_e2e/screenshots/full/AH_PUB_PrivacyPolicy.png</t>
        </is>
      </c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AH-051-01</t>
        </is>
      </c>
      <c r="B2" s="8" t="inlineStr">
        <is>
          <t>QuickImageGeneration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/quick-image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duration=1798ms | final=http://192.168.10.39:64005/quick-image</t>
        </is>
      </c>
      <c r="K2" s="8" t="inlineStr"/>
      <c r="L2" s="8" t="inlineStr">
        <is>
          <t>2026-05-12 15:33:41</t>
        </is>
      </c>
      <c r="M2" s="8" t="inlineStr">
        <is>
          <t>tools/ui_e2e/screenshots/full/AH_PROT_QuickImageGeneration.png</t>
        </is>
      </c>
    </row>
    <row r="3" ht="36" customHeight="1">
      <c r="A3" s="8" t="inlineStr">
        <is>
          <t>AH-051-02</t>
        </is>
      </c>
      <c r="B3" s="8" t="inlineStr">
        <is>
          <t>QuickImageGeneration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/quick-image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final=http://192.168.10.39:64005/login?redirect=/quick-image</t>
        </is>
      </c>
      <c r="K3" s="8" t="inlineStr">
        <is>
          <t>final=http://192.168.10.39:64005/login?redirect=/quick-image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AH-051-03</t>
        </is>
      </c>
      <c r="B4" s="8" t="inlineStr">
        <is>
          <t>QuickImageGeneration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15:33:41</t>
        </is>
      </c>
      <c r="M4" s="8" t="inlineStr"/>
    </row>
    <row r="5" ht="36" customHeight="1">
      <c r="A5" s="8" t="inlineStr">
        <is>
          <t>AH-051-04</t>
        </is>
      </c>
      <c r="B5" s="8" t="inlineStr">
        <is>
          <t>QuickImageGeneration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15:33:41</t>
        </is>
      </c>
      <c r="M5" s="8" t="inlineStr"/>
    </row>
    <row r="6" ht="36" customHeight="1">
      <c r="A6" s="8" t="inlineStr">
        <is>
          <t>AH-051-05</t>
        </is>
      </c>
      <c r="B6" s="8" t="inlineStr">
        <is>
          <t>QuickImageGeneration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15:33:41</t>
        </is>
      </c>
      <c r="M6" s="8" t="inlineStr"/>
    </row>
    <row r="7" ht="36" customHeight="1">
      <c r="A7" s="8" t="inlineStr">
        <is>
          <t>AH-051-06</t>
        </is>
      </c>
      <c r="B7" s="8" t="inlineStr">
        <is>
          <t>QuickImageGeneration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15:33:41</t>
        </is>
      </c>
      <c r="M7" s="8" t="inlineStr">
        <is>
          <t>tools/ui_e2e/screenshots/full/AH_PROT_QuickImageGeneration.png</t>
        </is>
      </c>
    </row>
    <row r="8" ht="36" customHeight="1">
      <c r="A8" s="8" t="inlineStr">
        <is>
          <t>AH-SP-111</t>
        </is>
      </c>
      <c r="B8" s="8" t="inlineStr">
        <is>
          <t>빠른 이미지</t>
        </is>
      </c>
      <c r="C8" s="8" t="inlineStr">
        <is>
          <t>빠른 이미지 폼 표시 (전송 안 함)</t>
        </is>
      </c>
      <c r="D8" s="8" t="inlineStr">
        <is>
          <t>(admin 로그인)</t>
        </is>
      </c>
      <c r="E8" s="8" t="inlineStr">
        <is>
          <t>/quick-image 진입</t>
        </is>
      </c>
      <c r="F8" s="8" t="inlineStr">
        <is>
          <t>폼 가시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QuickImageGeneration: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AH-016-01</t>
        </is>
      </c>
      <c r="B2" s="8" t="inlineStr">
        <is>
          <t>Quota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/quota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duration=1797ms | final=http://192.168.10.39:64005/quota</t>
        </is>
      </c>
      <c r="K2" s="8" t="inlineStr"/>
      <c r="L2" s="8" t="inlineStr">
        <is>
          <t>2026-05-12 15:32:37</t>
        </is>
      </c>
      <c r="M2" s="8" t="inlineStr">
        <is>
          <t>tools/ui_e2e/screenshots/full/AH_PROT_Quota.png</t>
        </is>
      </c>
    </row>
    <row r="3" ht="36" customHeight="1">
      <c r="A3" s="8" t="inlineStr">
        <is>
          <t>AH-016-02</t>
        </is>
      </c>
      <c r="B3" s="8" t="inlineStr">
        <is>
          <t>Quota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/quota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final=http://192.168.10.39:64005/login?redirect=/quota</t>
        </is>
      </c>
      <c r="K3" s="8" t="inlineStr">
        <is>
          <t>final=http://192.168.10.39:64005/login?redirect=/quota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AH-016-03</t>
        </is>
      </c>
      <c r="B4" s="8" t="inlineStr">
        <is>
          <t>Quota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15:32:37</t>
        </is>
      </c>
      <c r="M4" s="8" t="inlineStr"/>
    </row>
    <row r="5" ht="36" customHeight="1">
      <c r="A5" s="8" t="inlineStr">
        <is>
          <t>AH-016-04</t>
        </is>
      </c>
      <c r="B5" s="8" t="inlineStr">
        <is>
          <t>Quota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15:32:37</t>
        </is>
      </c>
      <c r="M5" s="8" t="inlineStr"/>
    </row>
    <row r="6" ht="36" customHeight="1">
      <c r="A6" s="8" t="inlineStr">
        <is>
          <t>AH-016-05</t>
        </is>
      </c>
      <c r="B6" s="8" t="inlineStr">
        <is>
          <t>Quota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15:32:37</t>
        </is>
      </c>
      <c r="M6" s="8" t="inlineStr"/>
    </row>
    <row r="7" ht="36" customHeight="1">
      <c r="A7" s="8" t="inlineStr">
        <is>
          <t>AH-016-06</t>
        </is>
      </c>
      <c r="B7" s="8" t="inlineStr">
        <is>
          <t>Quota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15:32:37</t>
        </is>
      </c>
      <c r="M7" s="8" t="inlineStr">
        <is>
          <t>tools/ui_e2e/screenshots/full/AH_PROT_Quota.png</t>
        </is>
      </c>
    </row>
    <row r="8" ht="36" customHeight="1">
      <c r="A8" s="8" t="inlineStr">
        <is>
          <t>AH-SP-068</t>
        </is>
      </c>
      <c r="B8" s="8" t="inlineStr">
        <is>
          <t>할당량</t>
        </is>
      </c>
      <c r="C8" s="8" t="inlineStr">
        <is>
          <t>할당량 표 표시</t>
        </is>
      </c>
      <c r="D8" s="8" t="inlineStr">
        <is>
          <t>(admin 로그인)</t>
        </is>
      </c>
      <c r="E8" s="8" t="inlineStr">
        <is>
          <t>/quota 진입</t>
        </is>
      </c>
      <c r="F8" s="8" t="inlineStr">
        <is>
          <t>사용자/프로바이더별 할당량 표 렌더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Quota: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AH-041-01</t>
        </is>
      </c>
      <c r="B2" s="8" t="inlineStr">
        <is>
          <t>Reports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/reports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duration=1782ms | final=http://192.168.10.39:64005/reports</t>
        </is>
      </c>
      <c r="K2" s="8" t="inlineStr"/>
      <c r="L2" s="8" t="inlineStr">
        <is>
          <t>2026-05-12 15:33:22</t>
        </is>
      </c>
      <c r="M2" s="8" t="inlineStr">
        <is>
          <t>tools/ui_e2e/screenshots/full/AH_PROT_Reports.png</t>
        </is>
      </c>
    </row>
    <row r="3" ht="36" customHeight="1">
      <c r="A3" s="8" t="inlineStr">
        <is>
          <t>AH-041-02</t>
        </is>
      </c>
      <c r="B3" s="8" t="inlineStr">
        <is>
          <t>Reports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/reports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final=http://192.168.10.39:64005/login?redirect=/reports</t>
        </is>
      </c>
      <c r="K3" s="8" t="inlineStr">
        <is>
          <t>final=http://192.168.10.39:64005/login?redirect=/reports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AH-041-03</t>
        </is>
      </c>
      <c r="B4" s="8" t="inlineStr">
        <is>
          <t>Reports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15:33:22</t>
        </is>
      </c>
      <c r="M4" s="8" t="inlineStr"/>
    </row>
    <row r="5" ht="36" customHeight="1">
      <c r="A5" s="8" t="inlineStr">
        <is>
          <t>AH-041-04</t>
        </is>
      </c>
      <c r="B5" s="8" t="inlineStr">
        <is>
          <t>Reports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15:33:22</t>
        </is>
      </c>
      <c r="M5" s="8" t="inlineStr"/>
    </row>
    <row r="6" ht="36" customHeight="1">
      <c r="A6" s="8" t="inlineStr">
        <is>
          <t>AH-041-05</t>
        </is>
      </c>
      <c r="B6" s="8" t="inlineStr">
        <is>
          <t>Reports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15:33:22</t>
        </is>
      </c>
      <c r="M6" s="8" t="inlineStr"/>
    </row>
    <row r="7" ht="36" customHeight="1">
      <c r="A7" s="8" t="inlineStr">
        <is>
          <t>AH-041-06</t>
        </is>
      </c>
      <c r="B7" s="8" t="inlineStr">
        <is>
          <t>Reports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15:33:22</t>
        </is>
      </c>
      <c r="M7" s="8" t="inlineStr">
        <is>
          <t>tools/ui_e2e/screenshots/full/AH_PROT_Reports.png</t>
        </is>
      </c>
    </row>
    <row r="8" ht="36" customHeight="1">
      <c r="A8" s="8" t="inlineStr">
        <is>
          <t>AH-SP-070</t>
        </is>
      </c>
      <c r="B8" s="8" t="inlineStr">
        <is>
          <t>리포트</t>
        </is>
      </c>
      <c r="C8" s="8" t="inlineStr">
        <is>
          <t>리포트 목록 표시</t>
        </is>
      </c>
      <c r="D8" s="8" t="inlineStr">
        <is>
          <t>(admin 로그인)</t>
        </is>
      </c>
      <c r="E8" s="8" t="inlineStr">
        <is>
          <t>/reports 진입</t>
        </is>
      </c>
      <c r="F8" s="8" t="inlineStr">
        <is>
          <t>리포트 이력 렌더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Reports: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AH-004-01</t>
        </is>
      </c>
      <c r="B2" s="8" t="inlineStr">
        <is>
          <t>ResetPassword</t>
        </is>
      </c>
      <c r="C2" s="8" t="inlineStr">
        <is>
          <t>화면 진입 (anonymous)</t>
        </is>
      </c>
      <c r="D2" s="8" t="inlineStr">
        <is>
          <t>(미로그인) anonymous</t>
        </is>
      </c>
      <c r="E2" s="8" t="inlineStr">
        <is>
          <t>GET /reset-password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duration=1264ms | final=http://192.168.10.39:64005/reset-password</t>
        </is>
      </c>
      <c r="K2" s="8" t="inlineStr"/>
      <c r="L2" s="8" t="inlineStr">
        <is>
          <t>2026-05-12 15:32:15</t>
        </is>
      </c>
      <c r="M2" s="8" t="inlineStr">
        <is>
          <t>tools/ui_e2e/screenshots/full/AH_PUB_ResetPassword.png</t>
        </is>
      </c>
    </row>
    <row r="3" ht="36" customHeight="1">
      <c r="A3" s="8" t="inlineStr">
        <is>
          <t>AH-004-02</t>
        </is>
      </c>
      <c r="B3" s="8" t="inlineStr">
        <is>
          <t>ResetPassword</t>
        </is>
      </c>
      <c r="C3" s="8" t="inlineStr">
        <is>
          <t>권한 분기 (admin 진입도 허용)</t>
        </is>
      </c>
      <c r="D3" s="8" t="inlineStr">
        <is>
          <t>(admin 로그인 상태)</t>
        </is>
      </c>
      <c r="E3" s="8" t="inlineStr">
        <is>
          <t>GET /reset-password</t>
        </is>
      </c>
      <c r="F3" s="8" t="inlineStr">
        <is>
          <t>redirect=true 가 아닌 경우 그대로 표시 또는 routerGuard 에 따라 /로 이동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/>
      <c r="K3" s="8" t="inlineStr"/>
      <c r="L3" s="8" t="inlineStr">
        <is>
          <t>2026-05-12 15:32:15</t>
        </is>
      </c>
      <c r="M3" s="8" t="inlineStr"/>
    </row>
    <row r="4" ht="36" customHeight="1">
      <c r="A4" s="8" t="inlineStr">
        <is>
          <t>AH-004-03</t>
        </is>
      </c>
      <c r="B4" s="8" t="inlineStr">
        <is>
          <t>ResetPassword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15:32:15</t>
        </is>
      </c>
      <c r="M4" s="8" t="inlineStr"/>
    </row>
    <row r="5" ht="36" customHeight="1">
      <c r="A5" s="8" t="inlineStr">
        <is>
          <t>AH-004-06</t>
        </is>
      </c>
      <c r="B5" s="8" t="inlineStr">
        <is>
          <t>ResetPassword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15:32:15</t>
        </is>
      </c>
      <c r="M5" s="8" t="inlineStr">
        <is>
          <t>tools/ui_e2e/screenshots/full/AH_PUB_ResetPassword.png</t>
        </is>
      </c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AH-018-01</t>
        </is>
      </c>
      <c r="B2" s="8" t="inlineStr">
        <is>
          <t>Settings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/settings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duration=1787ms | final=http://192.168.10.39:64005/settings</t>
        </is>
      </c>
      <c r="K2" s="8" t="inlineStr"/>
      <c r="L2" s="8" t="inlineStr">
        <is>
          <t>2026-05-12 15:32:41</t>
        </is>
      </c>
      <c r="M2" s="8" t="inlineStr">
        <is>
          <t>tools/ui_e2e/screenshots/full/AH_PROT_Settings.png</t>
        </is>
      </c>
    </row>
    <row r="3" ht="36" customHeight="1">
      <c r="A3" s="8" t="inlineStr">
        <is>
          <t>AH-018-02</t>
        </is>
      </c>
      <c r="B3" s="8" t="inlineStr">
        <is>
          <t>Settings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/settings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final=http://192.168.10.39:64005/login?redirect=/settings</t>
        </is>
      </c>
      <c r="K3" s="8" t="inlineStr">
        <is>
          <t>final=http://192.168.10.39:64005/login?redirect=/settings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AH-018-03</t>
        </is>
      </c>
      <c r="B4" s="8" t="inlineStr">
        <is>
          <t>Settings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15:32:41</t>
        </is>
      </c>
      <c r="M4" s="8" t="inlineStr"/>
    </row>
    <row r="5" ht="36" customHeight="1">
      <c r="A5" s="8" t="inlineStr">
        <is>
          <t>AH-018-04</t>
        </is>
      </c>
      <c r="B5" s="8" t="inlineStr">
        <is>
          <t>Settings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15:32:41</t>
        </is>
      </c>
      <c r="M5" s="8" t="inlineStr"/>
    </row>
    <row r="6" ht="36" customHeight="1">
      <c r="A6" s="8" t="inlineStr">
        <is>
          <t>AH-018-05</t>
        </is>
      </c>
      <c r="B6" s="8" t="inlineStr">
        <is>
          <t>Settings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15:32:41</t>
        </is>
      </c>
      <c r="M6" s="8" t="inlineStr"/>
    </row>
    <row r="7" ht="36" customHeight="1">
      <c r="A7" s="8" t="inlineStr">
        <is>
          <t>AH-018-06</t>
        </is>
      </c>
      <c r="B7" s="8" t="inlineStr">
        <is>
          <t>Settings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15:32:41</t>
        </is>
      </c>
      <c r="M7" s="8" t="inlineStr">
        <is>
          <t>tools/ui_e2e/screenshots/full/AH_PROT_Settings.png</t>
        </is>
      </c>
    </row>
    <row r="8" ht="36" customHeight="1">
      <c r="A8" s="8" t="inlineStr">
        <is>
          <t>AH-SP-061</t>
        </is>
      </c>
      <c r="B8" s="8" t="inlineStr">
        <is>
          <t>설정</t>
        </is>
      </c>
      <c r="C8" s="8" t="inlineStr">
        <is>
          <t>설정 폼 표시 (저장 안 함)</t>
        </is>
      </c>
      <c r="D8" s="8" t="inlineStr">
        <is>
          <t>(admin 로그인)</t>
        </is>
      </c>
      <c r="E8" s="8" t="inlineStr">
        <is>
          <t>/settings 진입 → 값 확인 (변경 없이)</t>
        </is>
      </c>
      <c r="F8" s="8" t="inlineStr">
        <is>
          <t>설정 폼 가시 — 운영 무변경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Settings: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AH-047-01</t>
        </is>
      </c>
      <c r="B2" s="8" t="inlineStr">
        <is>
          <t>SystemHealth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/system-health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duration=2430ms | final=http://192.168.10.39:64005/system-health</t>
        </is>
      </c>
      <c r="K2" s="8" t="inlineStr"/>
      <c r="L2" s="8" t="inlineStr">
        <is>
          <t>2026-05-12 15:33:33</t>
        </is>
      </c>
      <c r="M2" s="8" t="inlineStr">
        <is>
          <t>tools/ui_e2e/screenshots/full/AH_PROT_SystemHealth.png</t>
        </is>
      </c>
    </row>
    <row r="3" ht="36" customHeight="1">
      <c r="A3" s="8" t="inlineStr">
        <is>
          <t>AH-047-02</t>
        </is>
      </c>
      <c r="B3" s="8" t="inlineStr">
        <is>
          <t>SystemHealth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/system-health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final=http://192.168.10.39:64005/login?redirect=/system-health</t>
        </is>
      </c>
      <c r="K3" s="8" t="inlineStr">
        <is>
          <t>final=http://192.168.10.39:64005/login?redirect=/system-health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AH-047-03</t>
        </is>
      </c>
      <c r="B4" s="8" t="inlineStr">
        <is>
          <t>SystemHealth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15:33:33</t>
        </is>
      </c>
      <c r="M4" s="8" t="inlineStr"/>
    </row>
    <row r="5" ht="36" customHeight="1">
      <c r="A5" s="8" t="inlineStr">
        <is>
          <t>AH-047-04</t>
        </is>
      </c>
      <c r="B5" s="8" t="inlineStr">
        <is>
          <t>SystemHealth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15:33:33</t>
        </is>
      </c>
      <c r="M5" s="8" t="inlineStr"/>
    </row>
    <row r="6" ht="36" customHeight="1">
      <c r="A6" s="8" t="inlineStr">
        <is>
          <t>AH-047-05</t>
        </is>
      </c>
      <c r="B6" s="8" t="inlineStr">
        <is>
          <t>SystemHealth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15:33:33</t>
        </is>
      </c>
      <c r="M6" s="8" t="inlineStr"/>
    </row>
    <row r="7" ht="36" customHeight="1">
      <c r="A7" s="8" t="inlineStr">
        <is>
          <t>AH-047-06</t>
        </is>
      </c>
      <c r="B7" s="8" t="inlineStr">
        <is>
          <t>SystemHealth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15:33:33</t>
        </is>
      </c>
      <c r="M7" s="8" t="inlineStr">
        <is>
          <t>tools/ui_e2e/screenshots/full/AH_PROT_SystemHealth.png</t>
        </is>
      </c>
    </row>
    <row r="8" ht="36" customHeight="1">
      <c r="A8" s="8" t="inlineStr">
        <is>
          <t>AH-SP-062</t>
        </is>
      </c>
      <c r="B8" s="8" t="inlineStr">
        <is>
          <t>시스템 헬스</t>
        </is>
      </c>
      <c r="C8" s="8" t="inlineStr">
        <is>
          <t>헬스 체크 결과 표시</t>
        </is>
      </c>
      <c r="D8" s="8" t="inlineStr">
        <is>
          <t>(admin 로그인)</t>
        </is>
      </c>
      <c r="E8" s="8" t="inlineStr">
        <is>
          <t>/system-health 진입</t>
        </is>
      </c>
      <c r="F8" s="8" t="inlineStr">
        <is>
          <t>PostgreSQL/Redis/외부 LLM 헬스 표시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SystemHealth: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AH-046-01</t>
        </is>
      </c>
      <c r="B2" s="8" t="inlineStr">
        <is>
          <t>Team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/team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duration=1804ms | final=http://192.168.10.39:64005/team</t>
        </is>
      </c>
      <c r="K2" s="8" t="inlineStr"/>
      <c r="L2" s="8" t="inlineStr">
        <is>
          <t>2026-05-12 15:33:31</t>
        </is>
      </c>
      <c r="M2" s="8" t="inlineStr">
        <is>
          <t>tools/ui_e2e/screenshots/full/AH_PROT_Team.png</t>
        </is>
      </c>
    </row>
    <row r="3" ht="36" customHeight="1">
      <c r="A3" s="8" t="inlineStr">
        <is>
          <t>AH-046-02</t>
        </is>
      </c>
      <c r="B3" s="8" t="inlineStr">
        <is>
          <t>Team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/team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final=http://192.168.10.39:64005/login?redirect=/team</t>
        </is>
      </c>
      <c r="K3" s="8" t="inlineStr">
        <is>
          <t>final=http://192.168.10.39:64005/login?redirect=/team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AH-046-03</t>
        </is>
      </c>
      <c r="B4" s="8" t="inlineStr">
        <is>
          <t>Team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15:33:31</t>
        </is>
      </c>
      <c r="M4" s="8" t="inlineStr"/>
    </row>
    <row r="5" ht="36" customHeight="1">
      <c r="A5" s="8" t="inlineStr">
        <is>
          <t>AH-046-04</t>
        </is>
      </c>
      <c r="B5" s="8" t="inlineStr">
        <is>
          <t>Team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15:33:31</t>
        </is>
      </c>
      <c r="M5" s="8" t="inlineStr"/>
    </row>
    <row r="6" ht="36" customHeight="1">
      <c r="A6" s="8" t="inlineStr">
        <is>
          <t>AH-046-05</t>
        </is>
      </c>
      <c r="B6" s="8" t="inlineStr">
        <is>
          <t>Team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15:33:31</t>
        </is>
      </c>
      <c r="M6" s="8" t="inlineStr"/>
    </row>
    <row r="7" ht="36" customHeight="1">
      <c r="A7" s="8" t="inlineStr">
        <is>
          <t>AH-046-06</t>
        </is>
      </c>
      <c r="B7" s="8" t="inlineStr">
        <is>
          <t>Team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15:33:31</t>
        </is>
      </c>
      <c r="M7" s="8" t="inlineStr">
        <is>
          <t>tools/ui_e2e/screenshots/full/AH_PROT_Team.png</t>
        </is>
      </c>
    </row>
    <row r="8" ht="36" customHeight="1">
      <c r="A8" s="8" t="inlineStr">
        <is>
          <t>AH-SP-069</t>
        </is>
      </c>
      <c r="B8" s="8" t="inlineStr">
        <is>
          <t>팀</t>
        </is>
      </c>
      <c r="C8" s="8" t="inlineStr">
        <is>
          <t>팀 목록 표시</t>
        </is>
      </c>
      <c r="D8" s="8" t="inlineStr">
        <is>
          <t>(admin 로그인)</t>
        </is>
      </c>
      <c r="E8" s="8" t="inlineStr">
        <is>
          <t>/team 진입</t>
        </is>
      </c>
      <c r="F8" s="8" t="inlineStr">
        <is>
          <t>팀 목록 또는 빈 상태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Team: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AH-005-01</t>
        </is>
      </c>
      <c r="B2" s="8" t="inlineStr">
        <is>
          <t>TermsOfService</t>
        </is>
      </c>
      <c r="C2" s="8" t="inlineStr">
        <is>
          <t>화면 진입 (anonymous)</t>
        </is>
      </c>
      <c r="D2" s="8" t="inlineStr">
        <is>
          <t>(미로그인) anonymous</t>
        </is>
      </c>
      <c r="E2" s="8" t="inlineStr">
        <is>
          <t>GET /terms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duration=1780ms | final=http://192.168.10.39:64005/terms</t>
        </is>
      </c>
      <c r="K2" s="8" t="inlineStr"/>
      <c r="L2" s="8" t="inlineStr">
        <is>
          <t>2026-05-12 15:32:16</t>
        </is>
      </c>
      <c r="M2" s="8" t="inlineStr">
        <is>
          <t>tools/ui_e2e/screenshots/full/AH_PUB_TermsOfService.png</t>
        </is>
      </c>
    </row>
    <row r="3" ht="36" customHeight="1">
      <c r="A3" s="8" t="inlineStr">
        <is>
          <t>AH-005-02</t>
        </is>
      </c>
      <c r="B3" s="8" t="inlineStr">
        <is>
          <t>TermsOfService</t>
        </is>
      </c>
      <c r="C3" s="8" t="inlineStr">
        <is>
          <t>권한 분기 (admin 진입도 허용)</t>
        </is>
      </c>
      <c r="D3" s="8" t="inlineStr">
        <is>
          <t>(admin 로그인 상태)</t>
        </is>
      </c>
      <c r="E3" s="8" t="inlineStr">
        <is>
          <t>GET /terms</t>
        </is>
      </c>
      <c r="F3" s="8" t="inlineStr">
        <is>
          <t>redirect=true 가 아닌 경우 그대로 표시 또는 routerGuard 에 따라 /로 이동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/>
      <c r="K3" s="8" t="inlineStr"/>
      <c r="L3" s="8" t="inlineStr">
        <is>
          <t>2026-05-12 15:32:16</t>
        </is>
      </c>
      <c r="M3" s="8" t="inlineStr"/>
    </row>
    <row r="4" ht="36" customHeight="1">
      <c r="A4" s="8" t="inlineStr">
        <is>
          <t>AH-005-03</t>
        </is>
      </c>
      <c r="B4" s="8" t="inlineStr">
        <is>
          <t>TermsOfService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15:32:16</t>
        </is>
      </c>
      <c r="M4" s="8" t="inlineStr"/>
    </row>
    <row r="5" ht="36" customHeight="1">
      <c r="A5" s="8" t="inlineStr">
        <is>
          <t>AH-005-06</t>
        </is>
      </c>
      <c r="B5" s="8" t="inlineStr">
        <is>
          <t>TermsOfService</t>
        </is>
      </c>
      <c r="C5" s="8" t="inlineStr">
        <is>
          <t>스크린샷 캡처 (감사용)</t>
        </is>
      </c>
      <c r="D5" s="8" t="inlineStr">
        <is>
          <t>(라우트 진입 + DOM 안정화)</t>
        </is>
      </c>
      <c r="E5" s="8" t="inlineStr">
        <is>
          <t>viewport 스크린샷 (full=false)</t>
        </is>
      </c>
      <c r="F5" s="8" t="inlineStr">
        <is>
          <t>screenshots/full/ 하위 .png 저장됨 (평문 시크릿 없음)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15:32:16</t>
        </is>
      </c>
      <c r="M5" s="8" t="inlineStr">
        <is>
          <t>tools/ui_e2e/screenshots/full/AH_PUB_TermsOfService.png</t>
        </is>
      </c>
    </row>
  </sheetData>
  <conditionalFormatting sqref="I2:I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AH-054-01</t>
        </is>
      </c>
      <c r="B2" s="8" t="inlineStr">
        <is>
          <t>ToolBuilder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/tools/builder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duration=1284ms | final=http://192.168.10.39:64005/tools/builder</t>
        </is>
      </c>
      <c r="K2" s="8" t="inlineStr"/>
      <c r="L2" s="8" t="inlineStr">
        <is>
          <t>2026-05-12 15:33:46</t>
        </is>
      </c>
      <c r="M2" s="8" t="inlineStr">
        <is>
          <t>tools/ui_e2e/screenshots/full/AH_PROT_ToolBuilder.png</t>
        </is>
      </c>
    </row>
    <row r="3" ht="36" customHeight="1">
      <c r="A3" s="8" t="inlineStr">
        <is>
          <t>AH-054-02</t>
        </is>
      </c>
      <c r="B3" s="8" t="inlineStr">
        <is>
          <t>ToolBuilder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/tools/builder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final=http://192.168.10.39:64005/login?redirect=/tools/builder</t>
        </is>
      </c>
      <c r="K3" s="8" t="inlineStr">
        <is>
          <t>final=http://192.168.10.39:64005/login?redirect=/tools/builder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AH-054-03</t>
        </is>
      </c>
      <c r="B4" s="8" t="inlineStr">
        <is>
          <t>ToolBuilder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15:33:46</t>
        </is>
      </c>
      <c r="M4" s="8" t="inlineStr"/>
    </row>
    <row r="5" ht="36" customHeight="1">
      <c r="A5" s="8" t="inlineStr">
        <is>
          <t>AH-054-04</t>
        </is>
      </c>
      <c r="B5" s="8" t="inlineStr">
        <is>
          <t>ToolBuilder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15:33:46</t>
        </is>
      </c>
      <c r="M5" s="8" t="inlineStr"/>
    </row>
    <row r="6" ht="36" customHeight="1">
      <c r="A6" s="8" t="inlineStr">
        <is>
          <t>AH-054-05</t>
        </is>
      </c>
      <c r="B6" s="8" t="inlineStr">
        <is>
          <t>ToolBuilder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15:33:46</t>
        </is>
      </c>
      <c r="M6" s="8" t="inlineStr"/>
    </row>
    <row r="7" ht="36" customHeight="1">
      <c r="A7" s="8" t="inlineStr">
        <is>
          <t>AH-054-06</t>
        </is>
      </c>
      <c r="B7" s="8" t="inlineStr">
        <is>
          <t>ToolBuilder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15:33:46</t>
        </is>
      </c>
      <c r="M7" s="8" t="inlineStr">
        <is>
          <t>tools/ui_e2e/screenshots/full/AH_PROT_ToolBuilder.png</t>
        </is>
      </c>
    </row>
    <row r="8" ht="36" customHeight="1">
      <c r="A8" s="8" t="inlineStr">
        <is>
          <t>AH-SP-091</t>
        </is>
      </c>
      <c r="B8" s="8" t="inlineStr">
        <is>
          <t>도구 빌더</t>
        </is>
      </c>
      <c r="C8" s="8" t="inlineStr">
        <is>
          <t>도구 빌더 폼 표시 (저장 안 함)</t>
        </is>
      </c>
      <c r="D8" s="8" t="inlineStr">
        <is>
          <t>(admin 로그인)</t>
        </is>
      </c>
      <c r="E8" s="8" t="inlineStr">
        <is>
          <t>/tools/builder 진입</t>
        </is>
      </c>
      <c r="F8" s="8" t="inlineStr">
        <is>
          <t>도구 타입 선택 (C#/Script/API) + 코드 에디터 가시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ToolBuilder: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AH-053-01</t>
        </is>
      </c>
      <c r="B2" s="8" t="inlineStr">
        <is>
          <t>Tools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/tools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duration=1778ms | final=http://192.168.10.39:64005/tools | net_issues=1: [{'url': 'http://192.168.10.39:64005/api/tools', 'status': 401}] | console_errors=1: ['Error loading tools: y']</t>
        </is>
      </c>
      <c r="K2" s="8" t="inlineStr"/>
      <c r="L2" s="8" t="inlineStr">
        <is>
          <t>2026-05-12 15:33:45</t>
        </is>
      </c>
      <c r="M2" s="8" t="inlineStr">
        <is>
          <t>tools/ui_e2e/screenshots/full/AH_PROT_Tools.png</t>
        </is>
      </c>
    </row>
    <row r="3" ht="36" customHeight="1">
      <c r="A3" s="8" t="inlineStr">
        <is>
          <t>AH-053-02</t>
        </is>
      </c>
      <c r="B3" s="8" t="inlineStr">
        <is>
          <t>Tools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/tools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final=http://192.168.10.39:64005/login?redirect=/tools</t>
        </is>
      </c>
      <c r="K3" s="8" t="inlineStr">
        <is>
          <t>final=http://192.168.10.39:64005/login?redirect=/tools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AH-053-03</t>
        </is>
      </c>
      <c r="B4" s="8" t="inlineStr">
        <is>
          <t>Tools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15:33:45</t>
        </is>
      </c>
      <c r="M4" s="8" t="inlineStr"/>
    </row>
    <row r="5" ht="36" customHeight="1">
      <c r="A5" s="8" t="inlineStr">
        <is>
          <t>AH-053-04</t>
        </is>
      </c>
      <c r="B5" s="8" t="inlineStr">
        <is>
          <t>Tools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15:33:45</t>
        </is>
      </c>
      <c r="M5" s="8" t="inlineStr"/>
    </row>
    <row r="6" ht="36" customHeight="1">
      <c r="A6" s="8" t="inlineStr">
        <is>
          <t>AH-053-05</t>
        </is>
      </c>
      <c r="B6" s="8" t="inlineStr">
        <is>
          <t>Tools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15:33:45</t>
        </is>
      </c>
      <c r="M6" s="8" t="inlineStr"/>
    </row>
    <row r="7" ht="36" customHeight="1">
      <c r="A7" s="8" t="inlineStr">
        <is>
          <t>AH-053-06</t>
        </is>
      </c>
      <c r="B7" s="8" t="inlineStr">
        <is>
          <t>Tools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15:33:45</t>
        </is>
      </c>
      <c r="M7" s="8" t="inlineStr">
        <is>
          <t>tools/ui_e2e/screenshots/full/AH_PROT_Tools.png</t>
        </is>
      </c>
    </row>
    <row r="8" ht="36" customHeight="1">
      <c r="A8" s="8" t="inlineStr">
        <is>
          <t>AH-SP-090</t>
        </is>
      </c>
      <c r="B8" s="8" t="inlineStr">
        <is>
          <t>도구 목록</t>
        </is>
      </c>
      <c r="C8" s="8" t="inlineStr">
        <is>
          <t>도구 목록 + 새로 만들기 버튼</t>
        </is>
      </c>
      <c r="D8" s="8" t="inlineStr">
        <is>
          <t>(admin 로그인)</t>
        </is>
      </c>
      <c r="E8" s="8" t="inlineStr">
        <is>
          <t>/tools 진입</t>
        </is>
      </c>
      <c r="F8" s="8" t="inlineStr">
        <is>
          <t>도구 목록 또는 빈 상태 + 새로 만들기 버튼 가시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Tools: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AH-042-01</t>
        </is>
      </c>
      <c r="B2" s="8" t="inlineStr">
        <is>
          <t>UsageHistory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/usage-history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FAIL</t>
        </is>
      </c>
      <c r="J2" s="8" t="inlineStr">
        <is>
          <t>DOM mounted=True | duration=1811ms | final=http://192.168.10.39:64005/usage-history | net_issues=1: [{'url': 'http://192.168.10.39:64005/api/analytics/usage-history?skip=0&amp;take=20&amp;startDate=2026-03-31T00:00:00.000Z&amp;endDate=2026-05', 'status': 500}] | console_errors=1: ['Error loading usages: y']</t>
        </is>
      </c>
      <c r="K2" s="8" t="inlineStr">
        <is>
          <t>운영 백엔드 결함: 500 http://192.168.10.39:64005/api/analytics/usage-history?skip=0&amp;take=20&amp;startDate=</t>
        </is>
      </c>
      <c r="L2" s="8" t="inlineStr">
        <is>
          <t>2026-05-12 15:33:24</t>
        </is>
      </c>
      <c r="M2" s="8" t="inlineStr">
        <is>
          <t>tools/ui_e2e/screenshots/full/AH_PROT_UsageHistory.png</t>
        </is>
      </c>
    </row>
    <row r="3" ht="36" customHeight="1">
      <c r="A3" s="8" t="inlineStr">
        <is>
          <t>AH-042-02</t>
        </is>
      </c>
      <c r="B3" s="8" t="inlineStr">
        <is>
          <t>UsageHistory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/usage-history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final=http://192.168.10.39:64005/login?redirect=/usage-history</t>
        </is>
      </c>
      <c r="K3" s="8" t="inlineStr">
        <is>
          <t>final=http://192.168.10.39:64005/login?redirect=/usage-history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AH-042-03</t>
        </is>
      </c>
      <c r="B4" s="8" t="inlineStr">
        <is>
          <t>UsageHistory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FAIL</t>
        </is>
      </c>
      <c r="J4" s="8" t="inlineStr"/>
      <c r="K4" s="8" t="inlineStr">
        <is>
          <t>운영 백엔드 결함: 500 http://192.168.10.39:64005/api/analytics/usage-history?skip=0&amp;take=20&amp;startDate=</t>
        </is>
      </c>
      <c r="L4" s="8" t="inlineStr">
        <is>
          <t>2026-05-12 15:33:24</t>
        </is>
      </c>
      <c r="M4" s="8" t="inlineStr"/>
    </row>
    <row r="5" ht="36" customHeight="1">
      <c r="A5" s="8" t="inlineStr">
        <is>
          <t>AH-042-04</t>
        </is>
      </c>
      <c r="B5" s="8" t="inlineStr">
        <is>
          <t>UsageHistory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FAIL</t>
        </is>
      </c>
      <c r="J5" s="8" t="inlineStr"/>
      <c r="K5" s="8" t="inlineStr">
        <is>
          <t>운영 백엔드 결함: 500 http://192.168.10.39:64005/api/analytics/usage-history?skip=0&amp;take=20&amp;startDate=</t>
        </is>
      </c>
      <c r="L5" s="8" t="inlineStr">
        <is>
          <t>2026-05-12 15:33:24</t>
        </is>
      </c>
      <c r="M5" s="8" t="inlineStr"/>
    </row>
    <row r="6" ht="36" customHeight="1">
      <c r="A6" s="8" t="inlineStr">
        <is>
          <t>AH-042-05</t>
        </is>
      </c>
      <c r="B6" s="8" t="inlineStr">
        <is>
          <t>UsageHistory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15:33:24</t>
        </is>
      </c>
      <c r="M6" s="8" t="inlineStr"/>
    </row>
    <row r="7" ht="36" customHeight="1">
      <c r="A7" s="8" t="inlineStr">
        <is>
          <t>AH-042-06</t>
        </is>
      </c>
      <c r="B7" s="8" t="inlineStr">
        <is>
          <t>UsageHistory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15:33:24</t>
        </is>
      </c>
      <c r="M7" s="8" t="inlineStr">
        <is>
          <t>tools/ui_e2e/screenshots/full/AH_PROT_UsageHistory.png</t>
        </is>
      </c>
    </row>
    <row r="8" ht="36" customHeight="1">
      <c r="A8" s="8" t="inlineStr">
        <is>
          <t>AH-SP-071</t>
        </is>
      </c>
      <c r="B8" s="8" t="inlineStr">
        <is>
          <t>사용 이력</t>
        </is>
      </c>
      <c r="C8" s="8" t="inlineStr">
        <is>
          <t>사용 이력 표 + 페이지네이션</t>
        </is>
      </c>
      <c r="D8" s="8" t="inlineStr">
        <is>
          <t>(admin 로그인)</t>
        </is>
      </c>
      <c r="E8" s="8" t="inlineStr">
        <is>
          <t>/usage-history 진입</t>
        </is>
      </c>
      <c r="F8" s="8" t="inlineStr">
        <is>
          <t>사용 이력 행 렌더 + 페이지네이션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FAIL</t>
        </is>
      </c>
      <c r="J8" s="8" t="inlineStr"/>
      <c r="K8" s="8" t="inlineStr">
        <is>
          <t>[라이브 라우트 결과 인용] UsageHistory: FAIL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AH-011-01</t>
        </is>
      </c>
      <c r="B2" s="8" t="inlineStr">
        <is>
          <t>Users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/users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duration=1805ms | final=http://192.168.10.39:64005/users</t>
        </is>
      </c>
      <c r="K2" s="8" t="inlineStr"/>
      <c r="L2" s="8" t="inlineStr">
        <is>
          <t>2026-05-12 15:32:28</t>
        </is>
      </c>
      <c r="M2" s="8" t="inlineStr">
        <is>
          <t>tools/ui_e2e/screenshots/full/AH_PROT_Users.png</t>
        </is>
      </c>
    </row>
    <row r="3" ht="36" customHeight="1">
      <c r="A3" s="8" t="inlineStr">
        <is>
          <t>AH-011-02</t>
        </is>
      </c>
      <c r="B3" s="8" t="inlineStr">
        <is>
          <t>Users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/users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final=http://192.168.10.39:64005/login?redirect=/users (redirected to http://192.168.10.39:64005/login?redirect=/users)</t>
        </is>
      </c>
      <c r="K3" s="8" t="inlineStr"/>
      <c r="L3" s="8" t="inlineStr">
        <is>
          <t>2026-05-12 15:33:55</t>
        </is>
      </c>
      <c r="M3" s="8" t="inlineStr"/>
    </row>
    <row r="4" ht="36" customHeight="1">
      <c r="A4" s="8" t="inlineStr">
        <is>
          <t>AH-011-03</t>
        </is>
      </c>
      <c r="B4" s="8" t="inlineStr">
        <is>
          <t>Users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15:32:28</t>
        </is>
      </c>
      <c r="M4" s="8" t="inlineStr"/>
    </row>
    <row r="5" ht="36" customHeight="1">
      <c r="A5" s="8" t="inlineStr">
        <is>
          <t>AH-011-04</t>
        </is>
      </c>
      <c r="B5" s="8" t="inlineStr">
        <is>
          <t>Users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15:32:28</t>
        </is>
      </c>
      <c r="M5" s="8" t="inlineStr"/>
    </row>
    <row r="6" ht="36" customHeight="1">
      <c r="A6" s="8" t="inlineStr">
        <is>
          <t>AH-011-05</t>
        </is>
      </c>
      <c r="B6" s="8" t="inlineStr">
        <is>
          <t>Users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15:32:28</t>
        </is>
      </c>
      <c r="M6" s="8" t="inlineStr"/>
    </row>
    <row r="7" ht="36" customHeight="1">
      <c r="A7" s="8" t="inlineStr">
        <is>
          <t>AH-011-06</t>
        </is>
      </c>
      <c r="B7" s="8" t="inlineStr">
        <is>
          <t>Users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15:32:28</t>
        </is>
      </c>
      <c r="M7" s="8" t="inlineStr">
        <is>
          <t>tools/ui_e2e/screenshots/full/AH_PROT_Users.png</t>
        </is>
      </c>
    </row>
    <row r="8" ht="36" customHeight="1">
      <c r="A8" s="8" t="inlineStr">
        <is>
          <t>AH-SP-060</t>
        </is>
      </c>
      <c r="B8" s="8" t="inlineStr">
        <is>
          <t>사용자 관리</t>
        </is>
      </c>
      <c r="C8" s="8" t="inlineStr">
        <is>
          <t>사용자 목록 페이지네이션</t>
        </is>
      </c>
      <c r="D8" s="8" t="inlineStr">
        <is>
          <t>(admin 로그인)</t>
        </is>
      </c>
      <c r="E8" s="8" t="inlineStr">
        <is>
          <t>/users 진입</t>
        </is>
      </c>
      <c r="F8" s="8" t="inlineStr">
        <is>
          <t>사용자 표 렌더 + 페이지네이션 컨트롤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Users: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AH-056-01</t>
        </is>
      </c>
      <c r="B2" s="8" t="inlineStr">
        <is>
          <t>WorkflowBuilder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/workflows/builder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duration=1786ms | final=http://192.168.10.39:64005/workflows/builder</t>
        </is>
      </c>
      <c r="K2" s="8" t="inlineStr"/>
      <c r="L2" s="8" t="inlineStr">
        <is>
          <t>2026-05-12 15:33:49</t>
        </is>
      </c>
      <c r="M2" s="8" t="inlineStr">
        <is>
          <t>tools/ui_e2e/screenshots/full/AH_PROT_WorkflowBuilder.png</t>
        </is>
      </c>
    </row>
    <row r="3" ht="36" customHeight="1">
      <c r="A3" s="8" t="inlineStr">
        <is>
          <t>AH-056-02</t>
        </is>
      </c>
      <c r="B3" s="8" t="inlineStr">
        <is>
          <t>WorkflowBuilder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/workflows/builder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final=http://192.168.10.39:64005/login?redirect=/workflows/builder</t>
        </is>
      </c>
      <c r="K3" s="8" t="inlineStr">
        <is>
          <t>final=http://192.168.10.39:64005/login?redirect=/workflows/builder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AH-056-03</t>
        </is>
      </c>
      <c r="B4" s="8" t="inlineStr">
        <is>
          <t>WorkflowBuilder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15:33:49</t>
        </is>
      </c>
      <c r="M4" s="8" t="inlineStr"/>
    </row>
    <row r="5" ht="36" customHeight="1">
      <c r="A5" s="8" t="inlineStr">
        <is>
          <t>AH-056-04</t>
        </is>
      </c>
      <c r="B5" s="8" t="inlineStr">
        <is>
          <t>WorkflowBuilder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15:33:49</t>
        </is>
      </c>
      <c r="M5" s="8" t="inlineStr"/>
    </row>
    <row r="6" ht="36" customHeight="1">
      <c r="A6" s="8" t="inlineStr">
        <is>
          <t>AH-056-05</t>
        </is>
      </c>
      <c r="B6" s="8" t="inlineStr">
        <is>
          <t>WorkflowBuilder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15:33:49</t>
        </is>
      </c>
      <c r="M6" s="8" t="inlineStr"/>
    </row>
    <row r="7" ht="36" customHeight="1">
      <c r="A7" s="8" t="inlineStr">
        <is>
          <t>AH-056-06</t>
        </is>
      </c>
      <c r="B7" s="8" t="inlineStr">
        <is>
          <t>WorkflowBuilder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15:33:49</t>
        </is>
      </c>
      <c r="M7" s="8" t="inlineStr">
        <is>
          <t>tools/ui_e2e/screenshots/full/AH_PROT_WorkflowBuilder.png</t>
        </is>
      </c>
    </row>
    <row r="8" ht="36" customHeight="1">
      <c r="A8" s="8" t="inlineStr">
        <is>
          <t>AH-SP-093</t>
        </is>
      </c>
      <c r="B8" s="8" t="inlineStr">
        <is>
          <t>워크플로우 빌더</t>
        </is>
      </c>
      <c r="C8" s="8" t="inlineStr">
        <is>
          <t>Vue Flow 에디터 마운트</t>
        </is>
      </c>
      <c r="D8" s="8" t="inlineStr">
        <is>
          <t>(admin 로그인)</t>
        </is>
      </c>
      <c r="E8" s="8" t="inlineStr">
        <is>
          <t>/workflows/builder 진입</t>
        </is>
      </c>
      <c r="F8" s="8" t="inlineStr">
        <is>
          <t>Vue Flow 캔버스 + 노드 팔레트 가시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WorkflowBuilder: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AH-057-01</t>
        </is>
      </c>
      <c r="B2" s="8" t="inlineStr">
        <is>
          <t>WorkflowExecutionMonitor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/workflows/executions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duration=1276ms | final=http://192.168.10.39:64005/workflows/executions</t>
        </is>
      </c>
      <c r="K2" s="8" t="inlineStr"/>
      <c r="L2" s="8" t="inlineStr">
        <is>
          <t>2026-05-12 15:33:51</t>
        </is>
      </c>
      <c r="M2" s="8" t="inlineStr">
        <is>
          <t>tools/ui_e2e/screenshots/full/AH_PROT_WorkflowExecutionMonitor.png</t>
        </is>
      </c>
    </row>
    <row r="3" ht="36" customHeight="1">
      <c r="A3" s="8" t="inlineStr">
        <is>
          <t>AH-057-02</t>
        </is>
      </c>
      <c r="B3" s="8" t="inlineStr">
        <is>
          <t>WorkflowExecutionMonitor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/workflows/executions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final=http://192.168.10.39:64005/login?redirect=/workflows/executions</t>
        </is>
      </c>
      <c r="K3" s="8" t="inlineStr">
        <is>
          <t>final=http://192.168.10.39:64005/login?redirect=/workflows/executions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AH-057-03</t>
        </is>
      </c>
      <c r="B4" s="8" t="inlineStr">
        <is>
          <t>WorkflowExecutionMonitor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15:33:51</t>
        </is>
      </c>
      <c r="M4" s="8" t="inlineStr"/>
    </row>
    <row r="5" ht="36" customHeight="1">
      <c r="A5" s="8" t="inlineStr">
        <is>
          <t>AH-057-04</t>
        </is>
      </c>
      <c r="B5" s="8" t="inlineStr">
        <is>
          <t>WorkflowExecutionMonitor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15:33:51</t>
        </is>
      </c>
      <c r="M5" s="8" t="inlineStr"/>
    </row>
    <row r="6" ht="36" customHeight="1">
      <c r="A6" s="8" t="inlineStr">
        <is>
          <t>AH-057-05</t>
        </is>
      </c>
      <c r="B6" s="8" t="inlineStr">
        <is>
          <t>WorkflowExecutionMonitor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15:33:51</t>
        </is>
      </c>
      <c r="M6" s="8" t="inlineStr"/>
    </row>
    <row r="7" ht="36" customHeight="1">
      <c r="A7" s="8" t="inlineStr">
        <is>
          <t>AH-057-06</t>
        </is>
      </c>
      <c r="B7" s="8" t="inlineStr">
        <is>
          <t>WorkflowExecutionMonitor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15:33:51</t>
        </is>
      </c>
      <c r="M7" s="8" t="inlineStr">
        <is>
          <t>tools/ui_e2e/screenshots/full/AH_PROT_WorkflowExecutionMonitor.png</t>
        </is>
      </c>
    </row>
    <row r="8" ht="36" customHeight="1">
      <c r="A8" s="8" t="inlineStr">
        <is>
          <t>AH-SP-094</t>
        </is>
      </c>
      <c r="B8" s="8" t="inlineStr">
        <is>
          <t>실행 모니터</t>
        </is>
      </c>
      <c r="C8" s="8" t="inlineStr">
        <is>
          <t>실행 이력 표시</t>
        </is>
      </c>
      <c r="D8" s="8" t="inlineStr">
        <is>
          <t>(admin 로그인)</t>
        </is>
      </c>
      <c r="E8" s="8" t="inlineStr">
        <is>
          <t>/workflows/executions 진입</t>
        </is>
      </c>
      <c r="F8" s="8" t="inlineStr">
        <is>
          <t>실행 이력 행 또는 빈 상태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WorkflowExecutionMonitor: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0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  <col width="38" customWidth="1" min="10" max="10"/>
    <col width="24" customWidth="1" min="11" max="11"/>
    <col width="18" customWidth="1" min="12" max="12"/>
    <col width="40" customWidth="1" min="13" max="13"/>
  </cols>
  <sheetData>
    <row r="1" ht="28" customHeight="1">
      <c r="A1" s="7" t="inlineStr">
        <is>
          <t>ID</t>
        </is>
      </c>
      <c r="B1" s="7" t="inlineStr">
        <is>
          <t>화면</t>
        </is>
      </c>
      <c r="C1" s="7" t="inlineStr">
        <is>
          <t>인터랙션</t>
        </is>
      </c>
      <c r="D1" s="7" t="inlineStr">
        <is>
          <t>사전조건</t>
        </is>
      </c>
      <c r="E1" s="7" t="inlineStr">
        <is>
          <t>입력/액션</t>
        </is>
      </c>
      <c r="F1" s="7" t="inlineStr">
        <is>
          <t>기대 결과</t>
        </is>
      </c>
      <c r="G1" s="7" t="inlineStr">
        <is>
          <t>위험도</t>
        </is>
      </c>
      <c r="H1" s="7" t="inlineStr">
        <is>
          <t>자동화</t>
        </is>
      </c>
      <c r="I1" s="7" t="inlineStr">
        <is>
          <t>결과</t>
        </is>
      </c>
      <c r="J1" s="7" t="inlineStr">
        <is>
          <t>실측값</t>
        </is>
      </c>
      <c r="K1" s="7" t="inlineStr">
        <is>
          <t>비고</t>
        </is>
      </c>
      <c r="L1" s="7" t="inlineStr">
        <is>
          <t>검증일시</t>
        </is>
      </c>
      <c r="M1" s="7" t="inlineStr">
        <is>
          <t>스크린샷 경로</t>
        </is>
      </c>
    </row>
    <row r="2" ht="36" customHeight="1">
      <c r="A2" s="8" t="inlineStr">
        <is>
          <t>AH-055-01</t>
        </is>
      </c>
      <c r="B2" s="8" t="inlineStr">
        <is>
          <t>Workflows</t>
        </is>
      </c>
      <c r="C2" s="8" t="inlineStr">
        <is>
          <t>화면 진입 (admin 세션)</t>
        </is>
      </c>
      <c r="D2" s="8" t="inlineStr">
        <is>
          <t>(admin 로그인) — public 라우트도 admin 세션 보유 상태에서 진입</t>
        </is>
      </c>
      <c r="E2" s="8" t="inlineStr">
        <is>
          <t>GET /workflows</t>
        </is>
      </c>
      <c r="F2" s="8" t="inlineStr">
        <is>
          <t>HTTP 200 또는 클라이언트 라우팅 성공 + 페이지 마운트 (Vue/Next 컴포넌트 렌더)</t>
        </is>
      </c>
      <c r="G2" s="8" t="inlineStr">
        <is>
          <t>safe</t>
        </is>
      </c>
      <c r="H2" s="8" t="inlineStr">
        <is>
          <t>auto</t>
        </is>
      </c>
      <c r="I2" s="8" t="inlineStr">
        <is>
          <t>PASS</t>
        </is>
      </c>
      <c r="J2" s="8" t="inlineStr">
        <is>
          <t>DOM mounted=True | duration=1780ms | final=http://192.168.10.39:64005/workflows | net_issues=1: [{'url': 'http://192.168.10.39:64005/api/workflows', 'status': 401}] | console_errors=1: ['Error loading workflows: y']</t>
        </is>
      </c>
      <c r="K2" s="8" t="inlineStr"/>
      <c r="L2" s="8" t="inlineStr">
        <is>
          <t>2026-05-12 15:33:48</t>
        </is>
      </c>
      <c r="M2" s="8" t="inlineStr">
        <is>
          <t>tools/ui_e2e/screenshots/full/AH_PROT_Workflows.png</t>
        </is>
      </c>
    </row>
    <row r="3" ht="36" customHeight="1">
      <c r="A3" s="8" t="inlineStr">
        <is>
          <t>AH-055-02</t>
        </is>
      </c>
      <c r="B3" s="8" t="inlineStr">
        <is>
          <t>Workflows</t>
        </is>
      </c>
      <c r="C3" s="8" t="inlineStr">
        <is>
          <t>권한 분기 (anonymous → /login 리다이렉트)</t>
        </is>
      </c>
      <c r="D3" s="8" t="inlineStr">
        <is>
          <t>(미로그인 + 새 컨텍스트)</t>
        </is>
      </c>
      <c r="E3" s="8" t="inlineStr">
        <is>
          <t>GET /workflows (token 없음)</t>
        </is>
      </c>
      <c r="F3" s="8" t="inlineStr">
        <is>
          <t>/login?redirect=... 또는 /landing 으로 리다이렉트</t>
        </is>
      </c>
      <c r="G3" s="8" t="inlineStr">
        <is>
          <t>safe</t>
        </is>
      </c>
      <c r="H3" s="8" t="inlineStr">
        <is>
          <t>auto</t>
        </is>
      </c>
      <c r="I3" s="8" t="inlineStr">
        <is>
          <t>PASS</t>
        </is>
      </c>
      <c r="J3" s="8" t="inlineStr">
        <is>
          <t>final=http://192.168.10.39:64005/login?redirect=/workflows</t>
        </is>
      </c>
      <c r="K3" s="8" t="inlineStr">
        <is>
          <t>final=http://192.168.10.39:64005/login?redirect=/workflows</t>
        </is>
      </c>
      <c r="L3" s="8" t="inlineStr">
        <is>
          <t>2026-05-12 15:40:00</t>
        </is>
      </c>
      <c r="M3" s="8" t="inlineStr"/>
    </row>
    <row r="4" ht="36" customHeight="1">
      <c r="A4" s="8" t="inlineStr">
        <is>
          <t>AH-055-03</t>
        </is>
      </c>
      <c r="B4" s="8" t="inlineStr">
        <is>
          <t>Workflows</t>
        </is>
      </c>
      <c r="C4" s="8" t="inlineStr">
        <is>
          <t>DOM 마운트 + 주요 컨테이너 렌더</t>
        </is>
      </c>
      <c r="D4" s="8" t="inlineStr">
        <is>
          <t>(라우트 진입 완료)</t>
        </is>
      </c>
      <c r="E4" s="8" t="inlineStr">
        <is>
          <t>DOM 로드 + 1초 대기 → console error 0건 + 핵심 selector 가시</t>
        </is>
      </c>
      <c r="F4" s="8" t="inlineStr">
        <is>
          <t>console error 0건 (잘 알려진 외부 라이브러리 경고 제외), 핵심 컨테이너(main/main-layout/page-root) 렌더</t>
        </is>
      </c>
      <c r="G4" s="8" t="inlineStr">
        <is>
          <t>safe</t>
        </is>
      </c>
      <c r="H4" s="8" t="inlineStr">
        <is>
          <t>auto</t>
        </is>
      </c>
      <c r="I4" s="8" t="inlineStr">
        <is>
          <t>PASS</t>
        </is>
      </c>
      <c r="J4" s="8" t="inlineStr"/>
      <c r="K4" s="8" t="inlineStr"/>
      <c r="L4" s="8" t="inlineStr">
        <is>
          <t>2026-05-12 15:33:48</t>
        </is>
      </c>
      <c r="M4" s="8" t="inlineStr"/>
    </row>
    <row r="5" ht="36" customHeight="1">
      <c r="A5" s="8" t="inlineStr">
        <is>
          <t>AH-055-04</t>
        </is>
      </c>
      <c r="B5" s="8" t="inlineStr">
        <is>
          <t>Workflows</t>
        </is>
      </c>
      <c r="C5" s="8" t="inlineStr">
        <is>
          <t>페이지 진입 시 API 자동 호출 응답 확인</t>
        </is>
      </c>
      <c r="D5" s="8" t="inlineStr">
        <is>
          <t>(라우트 진입 완료)</t>
        </is>
      </c>
      <c r="E5" s="8" t="inlineStr">
        <is>
          <t>network 모니터 — 첫 5초 내 발생한 /api 또는 /v1 호출 + 상태코드 수집</t>
        </is>
      </c>
      <c r="F5" s="8" t="inlineStr">
        <is>
          <t>관련 API 200 OK 또는 비-401 응답. 401 발생 시 권한 분기 케이스로 분류</t>
        </is>
      </c>
      <c r="G5" s="8" t="inlineStr">
        <is>
          <t>safe</t>
        </is>
      </c>
      <c r="H5" s="8" t="inlineStr">
        <is>
          <t>auto</t>
        </is>
      </c>
      <c r="I5" s="8" t="inlineStr">
        <is>
          <t>PASS</t>
        </is>
      </c>
      <c r="J5" s="8" t="inlineStr"/>
      <c r="K5" s="8" t="inlineStr"/>
      <c r="L5" s="8" t="inlineStr">
        <is>
          <t>2026-05-12 15:33:48</t>
        </is>
      </c>
      <c r="M5" s="8" t="inlineStr"/>
    </row>
    <row r="6" ht="36" customHeight="1">
      <c r="A6" s="8" t="inlineStr">
        <is>
          <t>AH-055-05</t>
        </is>
      </c>
      <c r="B6" s="8" t="inlineStr">
        <is>
          <t>Workflows</t>
        </is>
      </c>
      <c r="C6" s="8" t="inlineStr">
        <is>
          <t>사이드바 / 헤더 / 활성 메뉴 표시</t>
        </is>
      </c>
      <c r="D6" s="8" t="inlineStr">
        <is>
          <t>(라우트 진입 완료)</t>
        </is>
      </c>
      <c r="E6" s="8" t="inlineStr">
        <is>
          <t>선택된 메뉴 highlight + 현재 사용자(admin) 정보 표시 확인</t>
        </is>
      </c>
      <c r="F6" s="8" t="inlineStr">
        <is>
          <t>사이드바 노드 활성 클래스 + 사용자 아바타/이름 가시</t>
        </is>
      </c>
      <c r="G6" s="8" t="inlineStr">
        <is>
          <t>safe</t>
        </is>
      </c>
      <c r="H6" s="8" t="inlineStr">
        <is>
          <t>auto</t>
        </is>
      </c>
      <c r="I6" s="8" t="inlineStr">
        <is>
          <t>PASS</t>
        </is>
      </c>
      <c r="J6" s="8" t="inlineStr"/>
      <c r="K6" s="8" t="inlineStr"/>
      <c r="L6" s="8" t="inlineStr">
        <is>
          <t>2026-05-12 15:33:48</t>
        </is>
      </c>
      <c r="M6" s="8" t="inlineStr"/>
    </row>
    <row r="7" ht="36" customHeight="1">
      <c r="A7" s="8" t="inlineStr">
        <is>
          <t>AH-055-06</t>
        </is>
      </c>
      <c r="B7" s="8" t="inlineStr">
        <is>
          <t>Workflows</t>
        </is>
      </c>
      <c r="C7" s="8" t="inlineStr">
        <is>
          <t>스크린샷 캡처 (감사용)</t>
        </is>
      </c>
      <c r="D7" s="8" t="inlineStr">
        <is>
          <t>(라우트 진입 + DOM 안정화)</t>
        </is>
      </c>
      <c r="E7" s="8" t="inlineStr">
        <is>
          <t>viewport 스크린샷 (full=false)</t>
        </is>
      </c>
      <c r="F7" s="8" t="inlineStr">
        <is>
          <t>screenshots/full/ 하위 .png 저장됨 (평문 시크릿 없음)</t>
        </is>
      </c>
      <c r="G7" s="8" t="inlineStr">
        <is>
          <t>safe</t>
        </is>
      </c>
      <c r="H7" s="8" t="inlineStr">
        <is>
          <t>auto</t>
        </is>
      </c>
      <c r="I7" s="8" t="inlineStr">
        <is>
          <t>PASS</t>
        </is>
      </c>
      <c r="J7" s="8" t="inlineStr"/>
      <c r="K7" s="8" t="inlineStr"/>
      <c r="L7" s="8" t="inlineStr">
        <is>
          <t>2026-05-12 15:33:48</t>
        </is>
      </c>
      <c r="M7" s="8" t="inlineStr">
        <is>
          <t>tools/ui_e2e/screenshots/full/AH_PROT_Workflows.png</t>
        </is>
      </c>
    </row>
    <row r="8" ht="36" customHeight="1">
      <c r="A8" s="8" t="inlineStr">
        <is>
          <t>AH-SP-092</t>
        </is>
      </c>
      <c r="B8" s="8" t="inlineStr">
        <is>
          <t>워크플로우 목록</t>
        </is>
      </c>
      <c r="C8" s="8" t="inlineStr">
        <is>
          <t>워크플로우 목록 표시</t>
        </is>
      </c>
      <c r="D8" s="8" t="inlineStr">
        <is>
          <t>(admin 로그인)</t>
        </is>
      </c>
      <c r="E8" s="8" t="inlineStr">
        <is>
          <t>/workflows 진입</t>
        </is>
      </c>
      <c r="F8" s="8" t="inlineStr">
        <is>
          <t>워크플로우 카드/표 렌더</t>
        </is>
      </c>
      <c r="G8" s="8" t="inlineStr">
        <is>
          <t>safe</t>
        </is>
      </c>
      <c r="H8" s="8" t="inlineStr">
        <is>
          <t>auto</t>
        </is>
      </c>
      <c r="I8" s="8" t="inlineStr">
        <is>
          <t>PASS</t>
        </is>
      </c>
      <c r="J8" s="8" t="inlineStr"/>
      <c r="K8" s="8" t="inlineStr">
        <is>
          <t>[라이브 라우트 결과 인용] Workflows: PASS</t>
        </is>
      </c>
      <c r="L8" s="8" t="inlineStr">
        <is>
          <t>2026-05-12 (인용)</t>
        </is>
      </c>
      <c r="M8" s="8" t="inlineStr"/>
    </row>
  </sheetData>
  <conditionalFormatting sqref="I2:I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2026-05-12T06:37:00Z</dcterms:created>
  <dcterms:modified xmlns:dcterms="http://purl.org/dc/terms/" xmlns:xsi="http://www.w3.org/2001/XMLSchema-instance" xsi:type="dcterms:W3CDTF">2026-05-12T06:40:20Z</dcterms:modified>
</cp:coreProperties>
</file>